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SIT3/input/"/>
    </mc:Choice>
  </mc:AlternateContent>
  <xr:revisionPtr revIDLastSave="5" documentId="11_614578E2545DD20E62355476585DCE3A87431BD9" xr6:coauthVersionLast="47" xr6:coauthVersionMax="47" xr10:uidLastSave="{72CC0FD9-E445-4AE8-A563-CEAD85C9DCF0}"/>
  <bookViews>
    <workbookView xWindow="50235" yWindow="10080" windowWidth="2622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2" i="1"/>
</calcChain>
</file>

<file path=xl/sharedStrings.xml><?xml version="1.0" encoding="utf-8"?>
<sst xmlns="http://schemas.openxmlformats.org/spreadsheetml/2006/main" count="4991" uniqueCount="680">
  <si>
    <t>MMCONO</t>
  </si>
  <si>
    <t>MMSTAT</t>
  </si>
  <si>
    <t>MMITNO</t>
  </si>
  <si>
    <t>MMITDS</t>
  </si>
  <si>
    <t>MMFUDS</t>
  </si>
  <si>
    <t>MMDWNO</t>
  </si>
  <si>
    <t>MMRESP</t>
  </si>
  <si>
    <t>MMDCCD</t>
  </si>
  <si>
    <t>MMUNMS</t>
  </si>
  <si>
    <t>MMITGR</t>
  </si>
  <si>
    <t>MMITCL</t>
  </si>
  <si>
    <t>MMBUAR</t>
  </si>
  <si>
    <t>MMEVGR</t>
  </si>
  <si>
    <t>MMITTY</t>
  </si>
  <si>
    <t>MMTPCD</t>
  </si>
  <si>
    <t>MMMABU</t>
  </si>
  <si>
    <t>MMCHCD</t>
  </si>
  <si>
    <t>MMSTCD</t>
  </si>
  <si>
    <t>MMBACD</t>
  </si>
  <si>
    <t>MMVAMT</t>
  </si>
  <si>
    <t>MMVTCD</t>
  </si>
  <si>
    <t>MMVOL3</t>
  </si>
  <si>
    <t>MMNEWE</t>
  </si>
  <si>
    <t>MMGRWE</t>
  </si>
  <si>
    <t>MMPPUN</t>
  </si>
  <si>
    <t>MMBYPR</t>
  </si>
  <si>
    <t>MMWAPC</t>
  </si>
  <si>
    <t>MMCOCD</t>
  </si>
  <si>
    <t>MMQACD</t>
  </si>
  <si>
    <t>MMEPCD</t>
  </si>
  <si>
    <t>MMPOCY</t>
  </si>
  <si>
    <t>MMACTI</t>
  </si>
  <si>
    <t>MMCFI1</t>
  </si>
  <si>
    <t>MMCFI2</t>
  </si>
  <si>
    <t>MMCFI3</t>
  </si>
  <si>
    <t>MMCFI4</t>
  </si>
  <si>
    <t>MMCFI5</t>
  </si>
  <si>
    <t>MMECCC</t>
  </si>
  <si>
    <t>MMTXID</t>
  </si>
  <si>
    <t>MMDTID</t>
  </si>
  <si>
    <t>MMECVE</t>
  </si>
  <si>
    <t>MMECAC</t>
  </si>
  <si>
    <t>MMECMA</t>
  </si>
  <si>
    <t>MMECFL</t>
  </si>
  <si>
    <t>MMWSCA</t>
  </si>
  <si>
    <t>MMPRGP</t>
  </si>
  <si>
    <t>MMETRF</t>
  </si>
  <si>
    <t>MMACRF</t>
  </si>
  <si>
    <t>MMINDI</t>
  </si>
  <si>
    <t>MMPUUN</t>
  </si>
  <si>
    <t>MMAUTC</t>
  </si>
  <si>
    <t>MMALUC</t>
  </si>
  <si>
    <t>MMPDCC</t>
  </si>
  <si>
    <t>MMCPDC</t>
  </si>
  <si>
    <t>MMIEAA</t>
  </si>
  <si>
    <t>MMRIDE</t>
  </si>
  <si>
    <t>MMRIDC</t>
  </si>
  <si>
    <t>MMGRTI</t>
  </si>
  <si>
    <t>MMGRTS</t>
  </si>
  <si>
    <t>MMEXPD</t>
  </si>
  <si>
    <t>MMITRF</t>
  </si>
  <si>
    <t>MMPRCM</t>
  </si>
  <si>
    <t>MMGRMT</t>
  </si>
  <si>
    <t>MMHAZI</t>
  </si>
  <si>
    <t>MMSALE</t>
  </si>
  <si>
    <t>MMFRAG</t>
  </si>
  <si>
    <t>MMTAXC</t>
  </si>
  <si>
    <t>MMRGDT</t>
  </si>
  <si>
    <t>MMRGTM</t>
  </si>
  <si>
    <t>MMLMDT</t>
  </si>
  <si>
    <t>MMCHNO</t>
  </si>
  <si>
    <t>MMCHID</t>
  </si>
  <si>
    <t>ITNO</t>
  </si>
  <si>
    <t>100</t>
  </si>
  <si>
    <t>20</t>
  </si>
  <si>
    <t>CR30103</t>
  </si>
  <si>
    <t>CREAMER,301,WH,20.8M</t>
  </si>
  <si>
    <t>W45MEDAM</t>
  </si>
  <si>
    <t>0</t>
  </si>
  <si>
    <t>CS</t>
  </si>
  <si>
    <t>250</t>
  </si>
  <si>
    <t>P101</t>
  </si>
  <si>
    <t>P25</t>
  </si>
  <si>
    <t>FG</t>
  </si>
  <si>
    <t>1</t>
  </si>
  <si>
    <t>12.1</t>
  </si>
  <si>
    <t>P050</t>
  </si>
  <si>
    <t>PB1</t>
  </si>
  <si>
    <t>P206</t>
  </si>
  <si>
    <t>3</t>
  </si>
  <si>
    <t>KG</t>
  </si>
  <si>
    <t>2</t>
  </si>
  <si>
    <t>4</t>
  </si>
  <si>
    <t>PFCR301</t>
  </si>
  <si>
    <t>P003</t>
  </si>
  <si>
    <t>001</t>
  </si>
  <si>
    <t>20250408</t>
  </si>
  <si>
    <t>156</t>
  </si>
  <si>
    <t>W45MECAC</t>
  </si>
  <si>
    <t>PK02113</t>
  </si>
  <si>
    <t>D-series Carton</t>
  </si>
  <si>
    <t>20.625 x 15.375 x 20.750</t>
  </si>
  <si>
    <t>EA</t>
  </si>
  <si>
    <t>870</t>
  </si>
  <si>
    <t>351</t>
  </si>
  <si>
    <t>910</t>
  </si>
  <si>
    <t>PK</t>
  </si>
  <si>
    <t>DIR</t>
  </si>
  <si>
    <t>19991005</t>
  </si>
  <si>
    <t>152116</t>
  </si>
  <si>
    <t>20240911</t>
  </si>
  <si>
    <t>192</t>
  </si>
  <si>
    <t>W15PCREH</t>
  </si>
  <si>
    <t>PK02291</t>
  </si>
  <si>
    <t>CTN PRT 301 M8-20.8M</t>
  </si>
  <si>
    <t>28.97 x 11.17 x 16.63  Inside Dimensions</t>
  </si>
  <si>
    <t>3.09</t>
  </si>
  <si>
    <t>20000127</t>
  </si>
  <si>
    <t>121050</t>
  </si>
  <si>
    <t>20210824</t>
  </si>
  <si>
    <t>206</t>
  </si>
  <si>
    <t>W45MKCET</t>
  </si>
  <si>
    <t>RS12903L</t>
  </si>
  <si>
    <t>50E662 BYNEL/DUPONT/ ADHESIVE</t>
  </si>
  <si>
    <t>800</t>
  </si>
  <si>
    <t>300</t>
  </si>
  <si>
    <t>RM</t>
  </si>
  <si>
    <t>000</t>
  </si>
  <si>
    <t>20010516</t>
  </si>
  <si>
    <t>113459</t>
  </si>
  <si>
    <t>20250413</t>
  </si>
  <si>
    <t>162</t>
  </si>
  <si>
    <t>PK07043L</t>
  </si>
  <si>
    <t>Pringles Pallet Bag</t>
  </si>
  <si>
    <t>50X42X66 2.5MIL</t>
  </si>
  <si>
    <t>350</t>
  </si>
  <si>
    <t>P209</t>
  </si>
  <si>
    <t>113656</t>
  </si>
  <si>
    <t>20250403</t>
  </si>
  <si>
    <t>170</t>
  </si>
  <si>
    <t>RS99104L</t>
  </si>
  <si>
    <t>RG 100 Catalyst</t>
  </si>
  <si>
    <t>RG 100 Cataylst</t>
  </si>
  <si>
    <t>P00</t>
  </si>
  <si>
    <t>P285</t>
  </si>
  <si>
    <t>20010713</t>
  </si>
  <si>
    <t>123436</t>
  </si>
  <si>
    <t>20090329</t>
  </si>
  <si>
    <t>180</t>
  </si>
  <si>
    <t>W40MEMLL</t>
  </si>
  <si>
    <t>RS97106L</t>
  </si>
  <si>
    <t>White PP Mono Flake</t>
  </si>
  <si>
    <t>302</t>
  </si>
  <si>
    <t>P271</t>
  </si>
  <si>
    <t>20150716</t>
  </si>
  <si>
    <t>133818</t>
  </si>
  <si>
    <t>W35ACKNB</t>
  </si>
  <si>
    <t>RS97107L</t>
  </si>
  <si>
    <t>Trans PP Mono Flake</t>
  </si>
  <si>
    <t>20150722</t>
  </si>
  <si>
    <t>104950</t>
  </si>
  <si>
    <t>RS97306L</t>
  </si>
  <si>
    <t>Translucent PS Regrind</t>
  </si>
  <si>
    <t>P272</t>
  </si>
  <si>
    <t>20080414</t>
  </si>
  <si>
    <t>124638</t>
  </si>
  <si>
    <t>20250404</t>
  </si>
  <si>
    <t>7</t>
  </si>
  <si>
    <t>RS97601L</t>
  </si>
  <si>
    <t>White  PP Barrier flake</t>
  </si>
  <si>
    <t>W40MEBYS</t>
  </si>
  <si>
    <t>P18</t>
  </si>
  <si>
    <t>P278</t>
  </si>
  <si>
    <t>20060225</t>
  </si>
  <si>
    <t>72246</t>
  </si>
  <si>
    <t>20101012</t>
  </si>
  <si>
    <t>26</t>
  </si>
  <si>
    <t>W35ACJNM</t>
  </si>
  <si>
    <t>RS97606L</t>
  </si>
  <si>
    <t>Trans PP Barrier flake</t>
  </si>
  <si>
    <t>P23</t>
  </si>
  <si>
    <t>72333</t>
  </si>
  <si>
    <t>20240926</t>
  </si>
  <si>
    <t>W41MEDAM</t>
  </si>
  <si>
    <t>RS97609L</t>
  </si>
  <si>
    <t>Whie PP Barrier Flake(NAS)</t>
  </si>
  <si>
    <t>72404</t>
  </si>
  <si>
    <t>20250217</t>
  </si>
  <si>
    <t>28</t>
  </si>
  <si>
    <t>RSP97302L</t>
  </si>
  <si>
    <t>White Creamer Repel</t>
  </si>
  <si>
    <t>20060515</t>
  </si>
  <si>
    <t>112928</t>
  </si>
  <si>
    <t>20121211</t>
  </si>
  <si>
    <t>149</t>
  </si>
  <si>
    <t>RS97202L</t>
  </si>
  <si>
    <t>Trans Random Co-PP/PE Flake</t>
  </si>
  <si>
    <t>For Kay Chemical</t>
  </si>
  <si>
    <t>20060710</t>
  </si>
  <si>
    <t>171805</t>
  </si>
  <si>
    <t>8</t>
  </si>
  <si>
    <t>PK02315</t>
  </si>
  <si>
    <t>4OZ. CTN Smooth FR Juice</t>
  </si>
  <si>
    <t>22.50 x 17.74 x 20.56 Inside Dimensions</t>
  </si>
  <si>
    <t>20060919</t>
  </si>
  <si>
    <t>100259</t>
  </si>
  <si>
    <t>20231031</t>
  </si>
  <si>
    <t>251</t>
  </si>
  <si>
    <t>RS97801L</t>
  </si>
  <si>
    <t>White CoPoly Mono Flake</t>
  </si>
  <si>
    <t>LOT CONTROLLED</t>
  </si>
  <si>
    <t>20080910</t>
  </si>
  <si>
    <t>104246</t>
  </si>
  <si>
    <t>12</t>
  </si>
  <si>
    <t>RSC97302L</t>
  </si>
  <si>
    <t>White Creamer Regind</t>
  </si>
  <si>
    <t>20070717</t>
  </si>
  <si>
    <t>85239</t>
  </si>
  <si>
    <t>138</t>
  </si>
  <si>
    <t>W45METYD</t>
  </si>
  <si>
    <t>RS20537L</t>
  </si>
  <si>
    <t>Ampacet 612413  Blue/White</t>
  </si>
  <si>
    <t>810</t>
  </si>
  <si>
    <t>301</t>
  </si>
  <si>
    <t>999</t>
  </si>
  <si>
    <t>20080115</t>
  </si>
  <si>
    <t>102526</t>
  </si>
  <si>
    <t>20210930</t>
  </si>
  <si>
    <t>136</t>
  </si>
  <si>
    <t>RS09217L</t>
  </si>
  <si>
    <t>484C HIPS/AMSTY/PS</t>
  </si>
  <si>
    <t>484C/AMSTY/HIPS</t>
  </si>
  <si>
    <t>20081218</t>
  </si>
  <si>
    <t>102541</t>
  </si>
  <si>
    <t>20130205</t>
  </si>
  <si>
    <t>155</t>
  </si>
  <si>
    <t>RS09308L</t>
  </si>
  <si>
    <t>Total 825E HIPS</t>
  </si>
  <si>
    <t>20120926</t>
  </si>
  <si>
    <t>145030</t>
  </si>
  <si>
    <t>20241118</t>
  </si>
  <si>
    <t>11</t>
  </si>
  <si>
    <t>RS97613L</t>
  </si>
  <si>
    <t>White  CoPoly Barrier Flake</t>
  </si>
  <si>
    <t>20090826</t>
  </si>
  <si>
    <t>183739</t>
  </si>
  <si>
    <t>35</t>
  </si>
  <si>
    <t>RS99107L</t>
  </si>
  <si>
    <t>Color Master ACHPAO17NA1</t>
  </si>
  <si>
    <t>Color Master ACHPAO17NA1-Antioxidant</t>
  </si>
  <si>
    <t>20091110</t>
  </si>
  <si>
    <t>171143</t>
  </si>
  <si>
    <t>20250602</t>
  </si>
  <si>
    <t>189</t>
  </si>
  <si>
    <t>RS97614L</t>
  </si>
  <si>
    <t>Trans  CoPoly Barrier Flake</t>
  </si>
  <si>
    <t>20100503</t>
  </si>
  <si>
    <t>173611</t>
  </si>
  <si>
    <t>20150603</t>
  </si>
  <si>
    <t>36</t>
  </si>
  <si>
    <t>JU00409NZ</t>
  </si>
  <si>
    <t>4OZ Juice CX  NZ 2.940M</t>
  </si>
  <si>
    <t>No Z Divider</t>
  </si>
  <si>
    <t>370G4</t>
  </si>
  <si>
    <t>P116</t>
  </si>
  <si>
    <t>4.72</t>
  </si>
  <si>
    <t>13.6</t>
  </si>
  <si>
    <t>P055</t>
  </si>
  <si>
    <t>PF1</t>
  </si>
  <si>
    <t>PFJU400</t>
  </si>
  <si>
    <t>P020</t>
  </si>
  <si>
    <t>20110622</t>
  </si>
  <si>
    <t>91855</t>
  </si>
  <si>
    <t>20240924</t>
  </si>
  <si>
    <t>84</t>
  </si>
  <si>
    <t>PK07002L</t>
  </si>
  <si>
    <t>M6 - WICKETED POLY BAG</t>
  </si>
  <si>
    <t>13" x 32.75" + 2.75" LIP x .001 100/WKT Lot Controlled</t>
  </si>
  <si>
    <t>20110902</t>
  </si>
  <si>
    <t>134106</t>
  </si>
  <si>
    <t>165</t>
  </si>
  <si>
    <t>PK07016L</t>
  </si>
  <si>
    <t>DP BAG Liner 23X17X46</t>
  </si>
  <si>
    <t>Lot Controlled</t>
  </si>
  <si>
    <t>134643</t>
  </si>
  <si>
    <t>152</t>
  </si>
  <si>
    <t>RS97331L</t>
  </si>
  <si>
    <t>L7 White Coex Flake</t>
  </si>
  <si>
    <t>20111206</t>
  </si>
  <si>
    <t>100309</t>
  </si>
  <si>
    <t>20141202</t>
  </si>
  <si>
    <t>151</t>
  </si>
  <si>
    <t>RSP97331L</t>
  </si>
  <si>
    <t>L7  White Coex Repelletize</t>
  </si>
  <si>
    <t>P01</t>
  </si>
  <si>
    <t>20120103</t>
  </si>
  <si>
    <t>91303</t>
  </si>
  <si>
    <t>159</t>
  </si>
  <si>
    <t>PK07046L</t>
  </si>
  <si>
    <t>301-M8 Creamer Bag NEW</t>
  </si>
  <si>
    <t>20120116</t>
  </si>
  <si>
    <t>172627</t>
  </si>
  <si>
    <t>161</t>
  </si>
  <si>
    <t>RS08136L</t>
  </si>
  <si>
    <t>PP TALC -T986A1-HT6035-Her</t>
  </si>
  <si>
    <t>PP TALC MB T986A1-  HT6035 - Heritage Plastics</t>
  </si>
  <si>
    <t>20130521</t>
  </si>
  <si>
    <t>144508</t>
  </si>
  <si>
    <t>RS97332L</t>
  </si>
  <si>
    <t>Translucent Creamer Flake</t>
  </si>
  <si>
    <t>20120502</t>
  </si>
  <si>
    <t>92651</t>
  </si>
  <si>
    <t>RS03320L</t>
  </si>
  <si>
    <t>Dowlex 2083 PE</t>
  </si>
  <si>
    <t>*</t>
  </si>
  <si>
    <t>20130722</t>
  </si>
  <si>
    <t>141425</t>
  </si>
  <si>
    <t>46</t>
  </si>
  <si>
    <t>RS97619L</t>
  </si>
  <si>
    <t>Trans PP (Blend Homo/CoP)Mono</t>
  </si>
  <si>
    <t>Trans PP (Blend Homo/CoPoly) Mono Flake</t>
  </si>
  <si>
    <t>20140425</t>
  </si>
  <si>
    <t>122729</t>
  </si>
  <si>
    <t>45</t>
  </si>
  <si>
    <t>RS97335L</t>
  </si>
  <si>
    <t>L6  Sheeting White Coex Flake</t>
  </si>
  <si>
    <t>112334</t>
  </si>
  <si>
    <t>154</t>
  </si>
  <si>
    <t>PK07064L</t>
  </si>
  <si>
    <t>Rollstk-SV MF Film-37"</t>
  </si>
  <si>
    <t>18" OD, 37" Width-.0015 guage</t>
  </si>
  <si>
    <t>20150108</t>
  </si>
  <si>
    <t>173043</t>
  </si>
  <si>
    <t>20160304</t>
  </si>
  <si>
    <t>29</t>
  </si>
  <si>
    <t>W41ACMKS</t>
  </si>
  <si>
    <t>PK02500</t>
  </si>
  <si>
    <t>MF Layer Divider Pad-Bulk Pack</t>
  </si>
  <si>
    <t>46.25 x 40.5 - 5 per</t>
  </si>
  <si>
    <t>20150131</t>
  </si>
  <si>
    <t>100534</t>
  </si>
  <si>
    <t>214</t>
  </si>
  <si>
    <t>RS97621L</t>
  </si>
  <si>
    <t>Hormel Wht. CoPoly Bar. Flake</t>
  </si>
  <si>
    <t>Hormel White PP CoPoly Barrier Flake</t>
  </si>
  <si>
    <t>20150220</t>
  </si>
  <si>
    <t>113200</t>
  </si>
  <si>
    <t>20250215</t>
  </si>
  <si>
    <t>PK02133</t>
  </si>
  <si>
    <t>D-series Erector Carton</t>
  </si>
  <si>
    <t>20150624</t>
  </si>
  <si>
    <t>120859</t>
  </si>
  <si>
    <t>20250417</t>
  </si>
  <si>
    <t>199</t>
  </si>
  <si>
    <t>PK02502A</t>
  </si>
  <si>
    <t>MF Small Side Shroud-Bulk Pack</t>
  </si>
  <si>
    <t>1 per-revised Dec. 2015</t>
  </si>
  <si>
    <t>20151221</t>
  </si>
  <si>
    <t>150628</t>
  </si>
  <si>
    <t>217</t>
  </si>
  <si>
    <t>PK02503A</t>
  </si>
  <si>
    <t>MF Large Side Shroud-Bulk Pack</t>
  </si>
  <si>
    <t>150731</t>
  </si>
  <si>
    <t>PK02505A</t>
  </si>
  <si>
    <t>MF Top&amp;Bottom-Bulk Pack</t>
  </si>
  <si>
    <t>2 per-revised Dec. 2015</t>
  </si>
  <si>
    <t>150812</t>
  </si>
  <si>
    <t>RS08130L</t>
  </si>
  <si>
    <t>Inspire 6021WN-Braskem PP</t>
  </si>
  <si>
    <t>20171213</t>
  </si>
  <si>
    <t>145913</t>
  </si>
  <si>
    <t>20250924</t>
  </si>
  <si>
    <t>172</t>
  </si>
  <si>
    <t>RS11054L</t>
  </si>
  <si>
    <t>BX6804B/SOARUS/EVOH</t>
  </si>
  <si>
    <t>20180807</t>
  </si>
  <si>
    <t>142803</t>
  </si>
  <si>
    <t>164</t>
  </si>
  <si>
    <t>RS08320L</t>
  </si>
  <si>
    <t>Ingenia IP2006 WHITE PP COLOR</t>
  </si>
  <si>
    <t>144134</t>
  </si>
  <si>
    <t>215</t>
  </si>
  <si>
    <t>RS97130L</t>
  </si>
  <si>
    <t>R-Cup SU/SD Regrind</t>
  </si>
  <si>
    <t>P207</t>
  </si>
  <si>
    <t>LB</t>
  </si>
  <si>
    <t>20190125</t>
  </si>
  <si>
    <t>142134</t>
  </si>
  <si>
    <t>RS97131L</t>
  </si>
  <si>
    <t>PP R-CUP Regrind</t>
  </si>
  <si>
    <t>20180824</t>
  </si>
  <si>
    <t>114211</t>
  </si>
  <si>
    <t>176</t>
  </si>
  <si>
    <t>RS08006L</t>
  </si>
  <si>
    <t>TI4020N PP/Braskem/Copolymer</t>
  </si>
  <si>
    <t>20180918</t>
  </si>
  <si>
    <t>144226</t>
  </si>
  <si>
    <t>RS97636L</t>
  </si>
  <si>
    <t>White(4020)CoPoly MF Flake</t>
  </si>
  <si>
    <t>20180928</t>
  </si>
  <si>
    <t>103054</t>
  </si>
  <si>
    <t>19</t>
  </si>
  <si>
    <t>RSRD08176L</t>
  </si>
  <si>
    <t>PP AntiStat-Rainmaker</t>
  </si>
  <si>
    <t>ACHPAS10NA3-10% FS9500</t>
  </si>
  <si>
    <t>20181116</t>
  </si>
  <si>
    <t>162553</t>
  </si>
  <si>
    <t>RS12930L</t>
  </si>
  <si>
    <t>Bondyram TL 1235 Adh.- US</t>
  </si>
  <si>
    <t>20190228</t>
  </si>
  <si>
    <t>164922</t>
  </si>
  <si>
    <t>204</t>
  </si>
  <si>
    <t>PK07065L</t>
  </si>
  <si>
    <t>L53 Film-30" LLDPE, 100 guage</t>
  </si>
  <si>
    <t xml:space="preserve"> 30" Clear LLDPE Center -fold Rollstock</t>
  </si>
  <si>
    <t>20190627</t>
  </si>
  <si>
    <t>145146</t>
  </si>
  <si>
    <t>178</t>
  </si>
  <si>
    <t>PK02155</t>
  </si>
  <si>
    <t>Keurig M/R Cup Box-7,040 pack</t>
  </si>
  <si>
    <t>revised for L53 box maker-Sept. 2019</t>
  </si>
  <si>
    <t>20190809</t>
  </si>
  <si>
    <t>102320</t>
  </si>
  <si>
    <t>209</t>
  </si>
  <si>
    <t>PK07001CL</t>
  </si>
  <si>
    <t>CS-BAG w/ Anti Stat-12 X 29.5</t>
  </si>
  <si>
    <t>12in x 29.5 in x 0.001 100 Lot Controlled w/ Anti-Stat</t>
  </si>
  <si>
    <t>20190919</t>
  </si>
  <si>
    <t>103655</t>
  </si>
  <si>
    <t>193</t>
  </si>
  <si>
    <t>RS97625L</t>
  </si>
  <si>
    <t>DOTF Base-Trans PP Barrier</t>
  </si>
  <si>
    <t>DOTF Base-Clarified PP Barrier Flake</t>
  </si>
  <si>
    <t>20191002</t>
  </si>
  <si>
    <t>141001</t>
  </si>
  <si>
    <t>20191108</t>
  </si>
  <si>
    <t>54</t>
  </si>
  <si>
    <t>PK07077L</t>
  </si>
  <si>
    <t>Dash &amp; Cheesecake Bag</t>
  </si>
  <si>
    <t>Box Liner 28 X 20 X 53 - .85mil</t>
  </si>
  <si>
    <t>20191031</t>
  </si>
  <si>
    <t>134443</t>
  </si>
  <si>
    <t>20200710</t>
  </si>
  <si>
    <t>179</t>
  </si>
  <si>
    <t>RS97626L</t>
  </si>
  <si>
    <t>DOTF Lid-Trans CoPOLY Barrier</t>
  </si>
  <si>
    <t>135152</t>
  </si>
  <si>
    <t>DPM12510</t>
  </si>
  <si>
    <t>Big Dippers 1.25oz PP TR 3.15M</t>
  </si>
  <si>
    <t>DP-Series 1.25oz PP MONO Trans</t>
  </si>
  <si>
    <t>360S3</t>
  </si>
  <si>
    <t>P103</t>
  </si>
  <si>
    <t>10.7</t>
  </si>
  <si>
    <t>12.4</t>
  </si>
  <si>
    <t>P056</t>
  </si>
  <si>
    <t>PE1</t>
  </si>
  <si>
    <t>PDS125PPTR</t>
  </si>
  <si>
    <t>P010</t>
  </si>
  <si>
    <t>20200114</t>
  </si>
  <si>
    <t>104300</t>
  </si>
  <si>
    <t>20251015</t>
  </si>
  <si>
    <t>67</t>
  </si>
  <si>
    <t>RS08318L</t>
  </si>
  <si>
    <t>Color Master PP Slip Agent</t>
  </si>
  <si>
    <t>ACHPSL10NA1 - 10% Erucamide</t>
  </si>
  <si>
    <t>123726</t>
  </si>
  <si>
    <t>233</t>
  </si>
  <si>
    <t>RS97117L</t>
  </si>
  <si>
    <t>Trans PP Mono Flake w/ Slip A</t>
  </si>
  <si>
    <t>Trans PP Mono Flake w/ Slip Agent</t>
  </si>
  <si>
    <t>20200115</t>
  </si>
  <si>
    <t>120414</t>
  </si>
  <si>
    <t>13</t>
  </si>
  <si>
    <t>RS97630L</t>
  </si>
  <si>
    <t>DASH - White PP Barrier Flake</t>
  </si>
  <si>
    <t>20200121</t>
  </si>
  <si>
    <t>151815</t>
  </si>
  <si>
    <t>60</t>
  </si>
  <si>
    <t>RS08176L</t>
  </si>
  <si>
    <t>PP AntiStat-Color Master</t>
  </si>
  <si>
    <t>20200124</t>
  </si>
  <si>
    <t>161142</t>
  </si>
  <si>
    <t>223</t>
  </si>
  <si>
    <t>RS97118L</t>
  </si>
  <si>
    <t>White PP Mono Flake w/ Slip A</t>
  </si>
  <si>
    <t>White PP Mono Flake w/ Slip Agent</t>
  </si>
  <si>
    <t>20200311</t>
  </si>
  <si>
    <t>145902</t>
  </si>
  <si>
    <t>MTB10250W5</t>
  </si>
  <si>
    <t>Meat Tray -White,10250, 2,592</t>
  </si>
  <si>
    <t>BARRIER</t>
  </si>
  <si>
    <t>P108</t>
  </si>
  <si>
    <t>CT</t>
  </si>
  <si>
    <t>K</t>
  </si>
  <si>
    <t>PH1</t>
  </si>
  <si>
    <t>20200408</t>
  </si>
  <si>
    <t>143515</t>
  </si>
  <si>
    <t>20240123</t>
  </si>
  <si>
    <t>15</t>
  </si>
  <si>
    <t>LD10010A</t>
  </si>
  <si>
    <t>Lil'dippers 1.0 OZ NATPP 6,720</t>
  </si>
  <si>
    <t>420</t>
  </si>
  <si>
    <t>P104</t>
  </si>
  <si>
    <t>14</t>
  </si>
  <si>
    <t>18</t>
  </si>
  <si>
    <t>P054</t>
  </si>
  <si>
    <t>P009</t>
  </si>
  <si>
    <t>20200417</t>
  </si>
  <si>
    <t>135511</t>
  </si>
  <si>
    <t>20240920</t>
  </si>
  <si>
    <t>PK02140A</t>
  </si>
  <si>
    <t>Nestle DASH box-1,392</t>
  </si>
  <si>
    <t>revised 2x wall box</t>
  </si>
  <si>
    <t>20201005</t>
  </si>
  <si>
    <t>164012</t>
  </si>
  <si>
    <t>20210818</t>
  </si>
  <si>
    <t>219</t>
  </si>
  <si>
    <t>NPPD10011</t>
  </si>
  <si>
    <t>Dash 2 Compartment Tray,1392</t>
  </si>
  <si>
    <t>357</t>
  </si>
  <si>
    <t>P121</t>
  </si>
  <si>
    <t>13.7</t>
  </si>
  <si>
    <t>PA5</t>
  </si>
  <si>
    <t>PDS200PPWH</t>
  </si>
  <si>
    <t>P018</t>
  </si>
  <si>
    <t>20201009</t>
  </si>
  <si>
    <t>160043</t>
  </si>
  <si>
    <t>20251101</t>
  </si>
  <si>
    <t>283</t>
  </si>
  <si>
    <t>RS11060L</t>
  </si>
  <si>
    <t>Evasin EV-2904V-non lubricated</t>
  </si>
  <si>
    <t>20210608</t>
  </si>
  <si>
    <t>85313</t>
  </si>
  <si>
    <t>PK02111B</t>
  </si>
  <si>
    <t>New LD Box - 6,720</t>
  </si>
  <si>
    <t>Heavier guage w/ modified flaps - 23.75 x 19 x 14</t>
  </si>
  <si>
    <t>20210825</t>
  </si>
  <si>
    <t>151844</t>
  </si>
  <si>
    <t>20240625</t>
  </si>
  <si>
    <t>200</t>
  </si>
  <si>
    <t>PK07071L</t>
  </si>
  <si>
    <t>PTO Bag</t>
  </si>
  <si>
    <t>24.25 x 18.75 (SG) x 45.75 x .00125 mil</t>
  </si>
  <si>
    <t>20211117</t>
  </si>
  <si>
    <t>81450</t>
  </si>
  <si>
    <t>20211222</t>
  </si>
  <si>
    <t>PK02161</t>
  </si>
  <si>
    <t>409-16oz Dairy Cup Box,1,000</t>
  </si>
  <si>
    <t>OD= L-23.375 - W15 - H17.8125</t>
  </si>
  <si>
    <t>20220321</t>
  </si>
  <si>
    <t>161916</t>
  </si>
  <si>
    <t>PK02162</t>
  </si>
  <si>
    <t>409 Overcap Lid Box,1,500</t>
  </si>
  <si>
    <t>OD= L-23.4375 - W-19.75 - H-19.1875</t>
  </si>
  <si>
    <t>162423</t>
  </si>
  <si>
    <t>20230626</t>
  </si>
  <si>
    <t>220</t>
  </si>
  <si>
    <t>PK02163</t>
  </si>
  <si>
    <t>409 Overcap Lid Divider</t>
  </si>
  <si>
    <t>OD= L-22 - W-19.25 - H-4.5</t>
  </si>
  <si>
    <t>162519</t>
  </si>
  <si>
    <t>20231013</t>
  </si>
  <si>
    <t>RS11070L</t>
  </si>
  <si>
    <t>Soarus-E3808 EVOH</t>
  </si>
  <si>
    <t>20220408</t>
  </si>
  <si>
    <t>153523</t>
  </si>
  <si>
    <t>112</t>
  </si>
  <si>
    <t>CPK15011D</t>
  </si>
  <si>
    <t>KEUR KCUP WIN RKC 2G, 6,720</t>
  </si>
  <si>
    <t>KEUR KCUP WIN RKC 2G, 6,720 WH</t>
  </si>
  <si>
    <t>330J6</t>
  </si>
  <si>
    <t>P123</t>
  </si>
  <si>
    <t>P053</t>
  </si>
  <si>
    <t>PA2</t>
  </si>
  <si>
    <t>20220519</t>
  </si>
  <si>
    <t>100757</t>
  </si>
  <si>
    <t>20220706</t>
  </si>
  <si>
    <t>395</t>
  </si>
  <si>
    <t>PK360CR6</t>
  </si>
  <si>
    <t>Paper Core-360mm x 6 inch</t>
  </si>
  <si>
    <t>356</t>
  </si>
  <si>
    <t>120424</t>
  </si>
  <si>
    <t>98</t>
  </si>
  <si>
    <t>SH0203630M</t>
  </si>
  <si>
    <t>20mil 363mm Trans Mono PP MSTR</t>
  </si>
  <si>
    <t>Quik Trip  Master Roll</t>
  </si>
  <si>
    <t>110</t>
  </si>
  <si>
    <t>P132</t>
  </si>
  <si>
    <t>030</t>
  </si>
  <si>
    <t>SF</t>
  </si>
  <si>
    <t>PI1</t>
  </si>
  <si>
    <t>PSH043CXBL</t>
  </si>
  <si>
    <t>P239</t>
  </si>
  <si>
    <t>20220524</t>
  </si>
  <si>
    <t>135131</t>
  </si>
  <si>
    <t>20250604</t>
  </si>
  <si>
    <t>52</t>
  </si>
  <si>
    <t>SH0203630</t>
  </si>
  <si>
    <t>20mil 363mm Trans Mono PP-slit</t>
  </si>
  <si>
    <t>Quik Trip</t>
  </si>
  <si>
    <t>135707</t>
  </si>
  <si>
    <t>65</t>
  </si>
  <si>
    <t>RS11080L</t>
  </si>
  <si>
    <t>DT2904RB/SOARUS/EVOH</t>
  </si>
  <si>
    <t>DT2904RB/SOARUS/EVOH-Lubricated</t>
  </si>
  <si>
    <t>20220531</t>
  </si>
  <si>
    <t>145715</t>
  </si>
  <si>
    <t>RS08009L</t>
  </si>
  <si>
    <t>Braskem C758-80NA</t>
  </si>
  <si>
    <t>20220707</t>
  </si>
  <si>
    <t>103243</t>
  </si>
  <si>
    <t>RS20335L</t>
  </si>
  <si>
    <t>Color Master CCHPT170WH1</t>
  </si>
  <si>
    <t>White Colorant</t>
  </si>
  <si>
    <t>103504</t>
  </si>
  <si>
    <t>225</t>
  </si>
  <si>
    <t>PK07101L</t>
  </si>
  <si>
    <t>8oz-12oz-16oz IML Cup Film</t>
  </si>
  <si>
    <t>24.25 x 16.5 x 30</t>
  </si>
  <si>
    <t>20230825</t>
  </si>
  <si>
    <t>110641</t>
  </si>
  <si>
    <t>PK07100L</t>
  </si>
  <si>
    <t>Overcap IML Lid Film</t>
  </si>
  <si>
    <t>24.75 x 22 x 30</t>
  </si>
  <si>
    <t>111302</t>
  </si>
  <si>
    <t>20230828</t>
  </si>
  <si>
    <t>W41ITSAK</t>
  </si>
  <si>
    <t>RS20620L</t>
  </si>
  <si>
    <t>Ampacet 1100718-N  WHT. PE MB</t>
  </si>
  <si>
    <t>150</t>
  </si>
  <si>
    <t>140642</t>
  </si>
  <si>
    <t>20240418</t>
  </si>
  <si>
    <t>83</t>
  </si>
  <si>
    <t>DPC60011</t>
  </si>
  <si>
    <t>Big Dippers 6oz CoPol WH 1.785</t>
  </si>
  <si>
    <t>DP-Series 6.0oz CoPOLYMER PP White</t>
  </si>
  <si>
    <t>10.4</t>
  </si>
  <si>
    <t>24</t>
  </si>
  <si>
    <t>PDS600PPWH</t>
  </si>
  <si>
    <t>P022</t>
  </si>
  <si>
    <t>20240222</t>
  </si>
  <si>
    <t>100821</t>
  </si>
  <si>
    <t>20251027</t>
  </si>
  <si>
    <t>81</t>
  </si>
  <si>
    <t>PG60259A</t>
  </si>
  <si>
    <t>Chip Cup,Wht. 7G 15.624M</t>
  </si>
  <si>
    <t>Tub PR White Lightweight K236026000 - 1% color</t>
  </si>
  <si>
    <t>PT</t>
  </si>
  <si>
    <t>392</t>
  </si>
  <si>
    <t>P111</t>
  </si>
  <si>
    <t>P060</t>
  </si>
  <si>
    <t>PA1</t>
  </si>
  <si>
    <t>20240919</t>
  </si>
  <si>
    <t>122026</t>
  </si>
  <si>
    <t>20250822</t>
  </si>
  <si>
    <t>173</t>
  </si>
  <si>
    <t>LBL40900010202</t>
  </si>
  <si>
    <t>French Onion Dip Lid label</t>
  </si>
  <si>
    <t>Hiland Dairy</t>
  </si>
  <si>
    <t>892</t>
  </si>
  <si>
    <t>352</t>
  </si>
  <si>
    <t>PM1</t>
  </si>
  <si>
    <t>20241007</t>
  </si>
  <si>
    <t>163533</t>
  </si>
  <si>
    <t>20250516</t>
  </si>
  <si>
    <t>W41MECED</t>
  </si>
  <si>
    <t>LBL40900010204</t>
  </si>
  <si>
    <t>Chive Dip Lid label</t>
  </si>
  <si>
    <t>163733</t>
  </si>
  <si>
    <t>196</t>
  </si>
  <si>
    <t>LBL40916010202A</t>
  </si>
  <si>
    <t>16oz French Onion Cup Label</t>
  </si>
  <si>
    <t>PL1</t>
  </si>
  <si>
    <t>20241008</t>
  </si>
  <si>
    <t>122516</t>
  </si>
  <si>
    <t>207</t>
  </si>
  <si>
    <t>W45PDA</t>
  </si>
  <si>
    <t>W40PDA</t>
  </si>
  <si>
    <t>W25PDA</t>
  </si>
  <si>
    <t>W20PDA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</si>
</sst>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9"/>
  <sheetViews>
    <sheetView tabSelected="1" workbookViewId="0">
      <selection activeCell="G2" sqref="G2:G89"/>
    </sheetView>
  </sheetViews>
  <sheetFormatPr defaultRowHeight="15" x14ac:dyDescent="0.25"/>
  <cols>
    <col min="1" max="1" width="10.140625" bestFit="1" customWidth="1"/>
    <col min="2" max="2" width="9" bestFit="1" customWidth="1"/>
    <col min="3" max="3" width="16.28515625" bestFit="1" customWidth="1"/>
    <col min="4" max="4" width="32.140625" bestFit="1" customWidth="1"/>
    <col min="5" max="5" width="48.42578125" bestFit="1" customWidth="1"/>
    <col min="6" max="6" width="10.85546875" bestFit="1" customWidth="1"/>
    <col min="7" max="7" width="11.85546875" bestFit="1" customWidth="1"/>
    <col min="8" max="8" width="9.5703125" bestFit="1" customWidth="1"/>
    <col min="9" max="9" width="10.42578125" bestFit="1" customWidth="1"/>
    <col min="10" max="10" width="8.85546875" bestFit="1" customWidth="1"/>
    <col min="11" max="11" width="8.28515625" bestFit="1" customWidth="1"/>
    <col min="12" max="12" width="9.7109375" bestFit="1" customWidth="1"/>
    <col min="13" max="13" width="9.5703125" bestFit="1" customWidth="1"/>
    <col min="14" max="14" width="8.42578125" bestFit="1" customWidth="1"/>
    <col min="15" max="15" width="9.28515625" bestFit="1" customWidth="1"/>
    <col min="16" max="16" width="10.42578125" bestFit="1" customWidth="1"/>
    <col min="17" max="17" width="9.5703125" bestFit="1" customWidth="1"/>
    <col min="19" max="19" width="9.5703125" bestFit="1" customWidth="1"/>
    <col min="20" max="20" width="10.140625" bestFit="1" customWidth="1"/>
    <col min="21" max="21" width="9.42578125" bestFit="1" customWidth="1"/>
    <col min="22" max="22" width="9.28515625" bestFit="1" customWidth="1"/>
    <col min="23" max="23" width="10.140625" bestFit="1" customWidth="1"/>
    <col min="24" max="24" width="10.28515625" bestFit="1" customWidth="1"/>
    <col min="25" max="25" width="9.85546875" bestFit="1" customWidth="1"/>
    <col min="26" max="26" width="9.28515625" bestFit="1" customWidth="1"/>
    <col min="27" max="27" width="10.28515625" bestFit="1" customWidth="1"/>
    <col min="28" max="28" width="9.7109375" bestFit="1" customWidth="1"/>
    <col min="29" max="29" width="9.85546875" bestFit="1" customWidth="1"/>
    <col min="30" max="30" width="9.28515625" bestFit="1" customWidth="1"/>
    <col min="31" max="31" width="9.5703125" bestFit="1" customWidth="1"/>
    <col min="32" max="32" width="8.7109375" bestFit="1" customWidth="1"/>
    <col min="33" max="37" width="8.42578125" bestFit="1" customWidth="1"/>
    <col min="39" max="39" width="8.7109375" bestFit="1" customWidth="1"/>
    <col min="40" max="40" width="8.85546875" bestFit="1" customWidth="1"/>
    <col min="42" max="42" width="9.28515625" bestFit="1" customWidth="1"/>
    <col min="43" max="43" width="10" bestFit="1" customWidth="1"/>
    <col min="44" max="44" width="8.7109375" bestFit="1" customWidth="1"/>
    <col min="45" max="45" width="10.140625" bestFit="1" customWidth="1"/>
    <col min="46" max="46" width="9.5703125" bestFit="1" customWidth="1"/>
    <col min="47" max="47" width="8.85546875" bestFit="1" customWidth="1"/>
    <col min="48" max="48" width="9.28515625" bestFit="1" customWidth="1"/>
    <col min="49" max="49" width="8.5703125" bestFit="1" customWidth="1"/>
    <col min="50" max="50" width="10.140625" bestFit="1" customWidth="1"/>
    <col min="51" max="51" width="9.5703125" bestFit="1" customWidth="1"/>
    <col min="52" max="54" width="9.42578125" bestFit="1" customWidth="1"/>
    <col min="55" max="55" width="8.85546875" bestFit="1" customWidth="1"/>
    <col min="56" max="56" width="8.7109375" bestFit="1" customWidth="1"/>
    <col min="57" max="57" width="8.85546875" bestFit="1" customWidth="1"/>
    <col min="58" max="58" width="12.85546875" bestFit="1" customWidth="1"/>
    <col min="59" max="60" width="9.28515625" bestFit="1" customWidth="1"/>
    <col min="61" max="61" width="8.42578125" bestFit="1" customWidth="1"/>
    <col min="62" max="62" width="10" bestFit="1" customWidth="1"/>
    <col min="63" max="63" width="10.140625" bestFit="1" customWidth="1"/>
    <col min="64" max="65" width="8.85546875" bestFit="1" customWidth="1"/>
    <col min="66" max="66" width="9.5703125" bestFit="1" customWidth="1"/>
    <col min="67" max="67" width="9.28515625" bestFit="1" customWidth="1"/>
    <col min="68" max="68" width="9.5703125" bestFit="1" customWidth="1"/>
    <col min="69" max="69" width="10.140625" bestFit="1" customWidth="1"/>
    <col min="70" max="70" width="9.7109375" bestFit="1" customWidth="1"/>
    <col min="71" max="71" width="10" bestFit="1" customWidth="1"/>
    <col min="72" max="72" width="11.85546875" bestFit="1" customWidth="1"/>
    <col min="73" max="73" width="16.28515625" bestFit="1" customWidth="1"/>
  </cols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4" x14ac:dyDescent="0.25">
      <c r="A2" t="s">
        <v>73</v>
      </c>
      <c r="B2" t="s">
        <v>74</v>
      </c>
      <c r="C2" t="s">
        <v>75</v>
      </c>
      <c r="D2" t="s">
        <v>76</v>
      </c>
      <c r="G2" t="s">
        <v>676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N2" t="s">
        <v>83</v>
      </c>
      <c r="O2" t="s">
        <v>78</v>
      </c>
      <c r="P2" t="s">
        <v>84</v>
      </c>
      <c r="Q2" t="s">
        <v>78</v>
      </c>
      <c r="R2" t="s">
        <v>84</v>
      </c>
      <c r="S2" t="s">
        <v>78</v>
      </c>
      <c r="T2" t="s">
        <v>84</v>
      </c>
      <c r="U2" t="s">
        <v>78</v>
      </c>
      <c r="V2" t="s">
        <v>78</v>
      </c>
      <c r="W2" t="s">
        <v>85</v>
      </c>
      <c r="X2" t="s">
        <v>85</v>
      </c>
      <c r="Y2" t="s">
        <v>79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74</v>
      </c>
      <c r="AH2" t="s">
        <v>78</v>
      </c>
      <c r="AL2" t="s">
        <v>86</v>
      </c>
      <c r="AM2" t="s">
        <v>78</v>
      </c>
      <c r="AN2" t="s">
        <v>78</v>
      </c>
      <c r="AQ2" t="s">
        <v>78</v>
      </c>
      <c r="AR2" t="s">
        <v>78</v>
      </c>
      <c r="AT2" t="s">
        <v>87</v>
      </c>
      <c r="AV2" t="s">
        <v>88</v>
      </c>
      <c r="AW2" t="s">
        <v>89</v>
      </c>
      <c r="AX2" t="s">
        <v>90</v>
      </c>
      <c r="AY2" t="s">
        <v>78</v>
      </c>
      <c r="AZ2" t="s">
        <v>91</v>
      </c>
      <c r="BA2" t="s">
        <v>78</v>
      </c>
      <c r="BB2" t="s">
        <v>92</v>
      </c>
      <c r="BC2" t="s">
        <v>78</v>
      </c>
      <c r="BE2" t="s">
        <v>78</v>
      </c>
      <c r="BF2" t="s">
        <v>93</v>
      </c>
      <c r="BG2" t="s">
        <v>94</v>
      </c>
      <c r="BH2" t="s">
        <v>78</v>
      </c>
      <c r="BL2" t="s">
        <v>78</v>
      </c>
      <c r="BM2" t="s">
        <v>84</v>
      </c>
      <c r="BN2" t="s">
        <v>78</v>
      </c>
      <c r="BO2" t="s">
        <v>95</v>
      </c>
      <c r="BP2" t="s">
        <v>78</v>
      </c>
      <c r="BQ2" t="s">
        <v>78</v>
      </c>
      <c r="BR2" t="s">
        <v>96</v>
      </c>
      <c r="BS2" t="s">
        <v>97</v>
      </c>
      <c r="BT2" t="s">
        <v>98</v>
      </c>
      <c r="BU2" t="s">
        <v>75</v>
      </c>
      <c r="BV2" t="str">
        <f>LEFT(G2,3)&amp;"PDA"</f>
        <v>W45PDA</v>
      </c>
    </row>
    <row r="3" spans="1:74" x14ac:dyDescent="0.25">
      <c r="A3" t="s">
        <v>73</v>
      </c>
      <c r="B3" t="s">
        <v>74</v>
      </c>
      <c r="C3" t="s">
        <v>99</v>
      </c>
      <c r="D3" t="s">
        <v>100</v>
      </c>
      <c r="E3" t="s">
        <v>101</v>
      </c>
      <c r="G3" t="s">
        <v>676</v>
      </c>
      <c r="H3" t="s">
        <v>78</v>
      </c>
      <c r="I3" t="s">
        <v>102</v>
      </c>
      <c r="J3" t="s">
        <v>103</v>
      </c>
      <c r="K3" t="s">
        <v>104</v>
      </c>
      <c r="L3" t="s">
        <v>105</v>
      </c>
      <c r="N3" t="s">
        <v>106</v>
      </c>
      <c r="O3" t="s">
        <v>78</v>
      </c>
      <c r="P3" t="s">
        <v>91</v>
      </c>
      <c r="Q3" t="s">
        <v>78</v>
      </c>
      <c r="R3" t="s">
        <v>84</v>
      </c>
      <c r="S3" t="s">
        <v>78</v>
      </c>
      <c r="T3" t="s">
        <v>84</v>
      </c>
      <c r="U3" t="s">
        <v>78</v>
      </c>
      <c r="V3" t="s">
        <v>91</v>
      </c>
      <c r="W3" t="s">
        <v>78</v>
      </c>
      <c r="X3" t="s">
        <v>78</v>
      </c>
      <c r="Y3" t="s">
        <v>102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H3" t="s">
        <v>78</v>
      </c>
      <c r="AM3" t="s">
        <v>78</v>
      </c>
      <c r="AN3" t="s">
        <v>78</v>
      </c>
      <c r="AQ3" t="s">
        <v>78</v>
      </c>
      <c r="AR3" t="s">
        <v>78</v>
      </c>
      <c r="AW3" t="s">
        <v>78</v>
      </c>
      <c r="AX3" t="s">
        <v>102</v>
      </c>
      <c r="AY3" t="s">
        <v>78</v>
      </c>
      <c r="AZ3" t="s">
        <v>78</v>
      </c>
      <c r="BA3" t="s">
        <v>92</v>
      </c>
      <c r="BB3" t="s">
        <v>92</v>
      </c>
      <c r="BC3" t="s">
        <v>78</v>
      </c>
      <c r="BE3" t="s">
        <v>78</v>
      </c>
      <c r="BH3" t="s">
        <v>78</v>
      </c>
      <c r="BK3" t="s">
        <v>107</v>
      </c>
      <c r="BL3" t="s">
        <v>78</v>
      </c>
      <c r="BM3" t="s">
        <v>78</v>
      </c>
      <c r="BN3" t="s">
        <v>78</v>
      </c>
      <c r="BO3" t="s">
        <v>95</v>
      </c>
      <c r="BP3" t="s">
        <v>108</v>
      </c>
      <c r="BQ3" t="s">
        <v>109</v>
      </c>
      <c r="BR3" t="s">
        <v>110</v>
      </c>
      <c r="BS3" t="s">
        <v>111</v>
      </c>
      <c r="BT3" t="s">
        <v>112</v>
      </c>
      <c r="BU3" t="s">
        <v>99</v>
      </c>
      <c r="BV3" t="str">
        <f t="shared" ref="BV3:BV66" si="0">LEFT(G3,3)&amp;"PDA"</f>
        <v>W45PDA</v>
      </c>
    </row>
    <row r="4" spans="1:74" x14ac:dyDescent="0.25">
      <c r="A4" t="s">
        <v>73</v>
      </c>
      <c r="B4" t="s">
        <v>74</v>
      </c>
      <c r="C4" t="s">
        <v>113</v>
      </c>
      <c r="D4" t="s">
        <v>114</v>
      </c>
      <c r="E4" t="s">
        <v>115</v>
      </c>
      <c r="G4" t="s">
        <v>676</v>
      </c>
      <c r="H4" t="s">
        <v>78</v>
      </c>
      <c r="I4" t="s">
        <v>102</v>
      </c>
      <c r="J4" t="s">
        <v>103</v>
      </c>
      <c r="K4" t="s">
        <v>104</v>
      </c>
      <c r="L4" t="s">
        <v>105</v>
      </c>
      <c r="N4" t="s">
        <v>106</v>
      </c>
      <c r="O4" t="s">
        <v>78</v>
      </c>
      <c r="P4" t="s">
        <v>91</v>
      </c>
      <c r="Q4" t="s">
        <v>78</v>
      </c>
      <c r="R4" t="s">
        <v>84</v>
      </c>
      <c r="S4" t="s">
        <v>78</v>
      </c>
      <c r="T4" t="s">
        <v>84</v>
      </c>
      <c r="U4" t="s">
        <v>78</v>
      </c>
      <c r="V4" t="s">
        <v>116</v>
      </c>
      <c r="W4" t="s">
        <v>78</v>
      </c>
      <c r="X4" t="s">
        <v>78</v>
      </c>
      <c r="Y4" t="s">
        <v>102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H4" t="s">
        <v>78</v>
      </c>
      <c r="AM4" t="s">
        <v>78</v>
      </c>
      <c r="AN4" t="s">
        <v>78</v>
      </c>
      <c r="AQ4" t="s">
        <v>78</v>
      </c>
      <c r="AR4" t="s">
        <v>78</v>
      </c>
      <c r="AW4" t="s">
        <v>78</v>
      </c>
      <c r="AX4" t="s">
        <v>102</v>
      </c>
      <c r="AY4" t="s">
        <v>78</v>
      </c>
      <c r="AZ4" t="s">
        <v>78</v>
      </c>
      <c r="BA4" t="s">
        <v>92</v>
      </c>
      <c r="BB4" t="s">
        <v>92</v>
      </c>
      <c r="BC4" t="s">
        <v>78</v>
      </c>
      <c r="BE4" t="s">
        <v>78</v>
      </c>
      <c r="BH4" t="s">
        <v>78</v>
      </c>
      <c r="BK4" t="s">
        <v>107</v>
      </c>
      <c r="BL4" t="s">
        <v>78</v>
      </c>
      <c r="BM4" t="s">
        <v>78</v>
      </c>
      <c r="BN4" t="s">
        <v>78</v>
      </c>
      <c r="BO4" t="s">
        <v>95</v>
      </c>
      <c r="BP4" t="s">
        <v>117</v>
      </c>
      <c r="BQ4" t="s">
        <v>118</v>
      </c>
      <c r="BR4" t="s">
        <v>119</v>
      </c>
      <c r="BS4" t="s">
        <v>120</v>
      </c>
      <c r="BT4" t="s">
        <v>121</v>
      </c>
      <c r="BU4" t="s">
        <v>113</v>
      </c>
      <c r="BV4" t="str">
        <f t="shared" si="0"/>
        <v>W45PDA</v>
      </c>
    </row>
    <row r="5" spans="1:74" x14ac:dyDescent="0.25">
      <c r="A5" t="s">
        <v>73</v>
      </c>
      <c r="B5" t="s">
        <v>74</v>
      </c>
      <c r="C5" t="s">
        <v>122</v>
      </c>
      <c r="D5" t="s">
        <v>123</v>
      </c>
      <c r="E5" t="s">
        <v>123</v>
      </c>
      <c r="G5" t="s">
        <v>676</v>
      </c>
      <c r="H5" t="s">
        <v>78</v>
      </c>
      <c r="I5" t="s">
        <v>90</v>
      </c>
      <c r="J5" t="s">
        <v>124</v>
      </c>
      <c r="K5" t="s">
        <v>125</v>
      </c>
      <c r="L5" t="s">
        <v>82</v>
      </c>
      <c r="N5" t="s">
        <v>126</v>
      </c>
      <c r="O5" t="s">
        <v>78</v>
      </c>
      <c r="P5" t="s">
        <v>91</v>
      </c>
      <c r="Q5" t="s">
        <v>78</v>
      </c>
      <c r="R5" t="s">
        <v>84</v>
      </c>
      <c r="S5" t="s">
        <v>78</v>
      </c>
      <c r="T5" t="s">
        <v>84</v>
      </c>
      <c r="U5" t="s">
        <v>78</v>
      </c>
      <c r="V5" t="s">
        <v>91</v>
      </c>
      <c r="W5" t="s">
        <v>84</v>
      </c>
      <c r="X5" t="s">
        <v>84</v>
      </c>
      <c r="Y5" t="s">
        <v>90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H5" t="s">
        <v>78</v>
      </c>
      <c r="AM5" t="s">
        <v>78</v>
      </c>
      <c r="AN5" t="s">
        <v>78</v>
      </c>
      <c r="AQ5" t="s">
        <v>78</v>
      </c>
      <c r="AR5" t="s">
        <v>78</v>
      </c>
      <c r="AV5" t="s">
        <v>88</v>
      </c>
      <c r="AW5" t="s">
        <v>89</v>
      </c>
      <c r="AX5" t="s">
        <v>90</v>
      </c>
      <c r="AY5" t="s">
        <v>78</v>
      </c>
      <c r="AZ5" t="s">
        <v>91</v>
      </c>
      <c r="BA5" t="s">
        <v>92</v>
      </c>
      <c r="BB5" t="s">
        <v>92</v>
      </c>
      <c r="BC5" t="s">
        <v>78</v>
      </c>
      <c r="BE5" t="s">
        <v>78</v>
      </c>
      <c r="BH5" t="s">
        <v>78</v>
      </c>
      <c r="BK5" t="s">
        <v>107</v>
      </c>
      <c r="BL5" t="s">
        <v>78</v>
      </c>
      <c r="BM5" t="s">
        <v>78</v>
      </c>
      <c r="BN5" t="s">
        <v>78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112</v>
      </c>
      <c r="BU5" t="s">
        <v>122</v>
      </c>
      <c r="BV5" t="str">
        <f t="shared" si="0"/>
        <v>W45PDA</v>
      </c>
    </row>
    <row r="6" spans="1:74" x14ac:dyDescent="0.25">
      <c r="A6" t="s">
        <v>73</v>
      </c>
      <c r="B6" t="s">
        <v>74</v>
      </c>
      <c r="C6" t="s">
        <v>132</v>
      </c>
      <c r="D6" t="s">
        <v>133</v>
      </c>
      <c r="E6" t="s">
        <v>134</v>
      </c>
      <c r="G6" t="s">
        <v>676</v>
      </c>
      <c r="H6" t="s">
        <v>78</v>
      </c>
      <c r="I6" t="s">
        <v>102</v>
      </c>
      <c r="J6" t="s">
        <v>103</v>
      </c>
      <c r="K6" t="s">
        <v>135</v>
      </c>
      <c r="L6" t="s">
        <v>105</v>
      </c>
      <c r="N6" t="s">
        <v>106</v>
      </c>
      <c r="O6" t="s">
        <v>78</v>
      </c>
      <c r="P6" t="s">
        <v>91</v>
      </c>
      <c r="Q6" t="s">
        <v>78</v>
      </c>
      <c r="R6" t="s">
        <v>84</v>
      </c>
      <c r="S6" t="s">
        <v>78</v>
      </c>
      <c r="T6" t="s">
        <v>84</v>
      </c>
      <c r="U6" t="s">
        <v>78</v>
      </c>
      <c r="V6" t="s">
        <v>91</v>
      </c>
      <c r="W6" t="s">
        <v>78</v>
      </c>
      <c r="X6" t="s">
        <v>78</v>
      </c>
      <c r="Y6" t="s">
        <v>102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H6" t="s">
        <v>78</v>
      </c>
      <c r="AM6" t="s">
        <v>78</v>
      </c>
      <c r="AN6" t="s">
        <v>78</v>
      </c>
      <c r="AQ6" t="s">
        <v>78</v>
      </c>
      <c r="AR6" t="s">
        <v>78</v>
      </c>
      <c r="AV6" t="s">
        <v>136</v>
      </c>
      <c r="AW6" t="s">
        <v>89</v>
      </c>
      <c r="AX6" t="s">
        <v>102</v>
      </c>
      <c r="AY6" t="s">
        <v>78</v>
      </c>
      <c r="AZ6" t="s">
        <v>91</v>
      </c>
      <c r="BA6" t="s">
        <v>92</v>
      </c>
      <c r="BB6" t="s">
        <v>92</v>
      </c>
      <c r="BC6" t="s">
        <v>78</v>
      </c>
      <c r="BE6" t="s">
        <v>78</v>
      </c>
      <c r="BH6" t="s">
        <v>78</v>
      </c>
      <c r="BK6" t="s">
        <v>107</v>
      </c>
      <c r="BL6" t="s">
        <v>78</v>
      </c>
      <c r="BM6" t="s">
        <v>78</v>
      </c>
      <c r="BN6" t="s">
        <v>78</v>
      </c>
      <c r="BO6" t="s">
        <v>127</v>
      </c>
      <c r="BP6" t="s">
        <v>128</v>
      </c>
      <c r="BQ6" t="s">
        <v>137</v>
      </c>
      <c r="BR6" t="s">
        <v>138</v>
      </c>
      <c r="BS6" t="s">
        <v>139</v>
      </c>
      <c r="BT6" t="s">
        <v>112</v>
      </c>
      <c r="BU6" t="s">
        <v>132</v>
      </c>
      <c r="BV6" t="str">
        <f t="shared" si="0"/>
        <v>W45PDA</v>
      </c>
    </row>
    <row r="7" spans="1:74" x14ac:dyDescent="0.25">
      <c r="A7" t="s">
        <v>73</v>
      </c>
      <c r="B7" t="s">
        <v>74</v>
      </c>
      <c r="C7" t="s">
        <v>140</v>
      </c>
      <c r="D7" t="s">
        <v>141</v>
      </c>
      <c r="E7" t="s">
        <v>142</v>
      </c>
      <c r="G7" t="s">
        <v>676</v>
      </c>
      <c r="H7" t="s">
        <v>78</v>
      </c>
      <c r="I7" t="s">
        <v>90</v>
      </c>
      <c r="J7" t="s">
        <v>124</v>
      </c>
      <c r="K7" t="s">
        <v>125</v>
      </c>
      <c r="L7" t="s">
        <v>143</v>
      </c>
      <c r="N7" t="s">
        <v>126</v>
      </c>
      <c r="O7" t="s">
        <v>78</v>
      </c>
      <c r="P7" t="s">
        <v>91</v>
      </c>
      <c r="Q7" t="s">
        <v>78</v>
      </c>
      <c r="R7" t="s">
        <v>84</v>
      </c>
      <c r="S7" t="s">
        <v>78</v>
      </c>
      <c r="T7" t="s">
        <v>84</v>
      </c>
      <c r="U7" t="s">
        <v>78</v>
      </c>
      <c r="V7" t="s">
        <v>91</v>
      </c>
      <c r="W7" t="s">
        <v>84</v>
      </c>
      <c r="X7" t="s">
        <v>84</v>
      </c>
      <c r="Y7" t="s">
        <v>90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H7" t="s">
        <v>78</v>
      </c>
      <c r="AM7" t="s">
        <v>78</v>
      </c>
      <c r="AN7" t="s">
        <v>78</v>
      </c>
      <c r="AQ7" t="s">
        <v>78</v>
      </c>
      <c r="AR7" t="s">
        <v>78</v>
      </c>
      <c r="AV7" t="s">
        <v>144</v>
      </c>
      <c r="AW7" t="s">
        <v>89</v>
      </c>
      <c r="AX7" t="s">
        <v>90</v>
      </c>
      <c r="AY7" t="s">
        <v>78</v>
      </c>
      <c r="AZ7" t="s">
        <v>91</v>
      </c>
      <c r="BA7" t="s">
        <v>92</v>
      </c>
      <c r="BB7" t="s">
        <v>92</v>
      </c>
      <c r="BC7" t="s">
        <v>78</v>
      </c>
      <c r="BE7" t="s">
        <v>78</v>
      </c>
      <c r="BH7" t="s">
        <v>78</v>
      </c>
      <c r="BK7" t="s">
        <v>107</v>
      </c>
      <c r="BL7" t="s">
        <v>78</v>
      </c>
      <c r="BM7" t="s">
        <v>78</v>
      </c>
      <c r="BN7" t="s">
        <v>78</v>
      </c>
      <c r="BO7" t="s">
        <v>127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140</v>
      </c>
      <c r="BV7" t="str">
        <f t="shared" si="0"/>
        <v>W45PDA</v>
      </c>
    </row>
    <row r="8" spans="1:74" x14ac:dyDescent="0.25">
      <c r="A8" t="s">
        <v>73</v>
      </c>
      <c r="B8" t="s">
        <v>74</v>
      </c>
      <c r="C8" t="s">
        <v>150</v>
      </c>
      <c r="D8" t="s">
        <v>151</v>
      </c>
      <c r="G8" t="s">
        <v>676</v>
      </c>
      <c r="H8" t="s">
        <v>78</v>
      </c>
      <c r="I8" t="s">
        <v>90</v>
      </c>
      <c r="J8" t="s">
        <v>124</v>
      </c>
      <c r="K8" t="s">
        <v>152</v>
      </c>
      <c r="L8" t="s">
        <v>82</v>
      </c>
      <c r="N8" t="s">
        <v>126</v>
      </c>
      <c r="O8" t="s">
        <v>78</v>
      </c>
      <c r="P8" t="s">
        <v>91</v>
      </c>
      <c r="Q8" t="s">
        <v>78</v>
      </c>
      <c r="R8" t="s">
        <v>84</v>
      </c>
      <c r="S8" t="s">
        <v>78</v>
      </c>
      <c r="T8" t="s">
        <v>84</v>
      </c>
      <c r="U8" t="s">
        <v>78</v>
      </c>
      <c r="V8" t="s">
        <v>91</v>
      </c>
      <c r="W8" t="s">
        <v>84</v>
      </c>
      <c r="X8" t="s">
        <v>84</v>
      </c>
      <c r="Y8" t="s">
        <v>90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H8" t="s">
        <v>78</v>
      </c>
      <c r="AM8" t="s">
        <v>78</v>
      </c>
      <c r="AN8" t="s">
        <v>78</v>
      </c>
      <c r="AQ8" t="s">
        <v>78</v>
      </c>
      <c r="AR8" t="s">
        <v>78</v>
      </c>
      <c r="AV8" t="s">
        <v>153</v>
      </c>
      <c r="AW8" t="s">
        <v>89</v>
      </c>
      <c r="AX8" t="s">
        <v>90</v>
      </c>
      <c r="AY8" t="s">
        <v>78</v>
      </c>
      <c r="AZ8" t="s">
        <v>91</v>
      </c>
      <c r="BA8" t="s">
        <v>92</v>
      </c>
      <c r="BB8" t="s">
        <v>92</v>
      </c>
      <c r="BC8" t="s">
        <v>78</v>
      </c>
      <c r="BE8" t="s">
        <v>78</v>
      </c>
      <c r="BH8" t="s">
        <v>78</v>
      </c>
      <c r="BK8" t="s">
        <v>107</v>
      </c>
      <c r="BL8" t="s">
        <v>78</v>
      </c>
      <c r="BM8" t="s">
        <v>84</v>
      </c>
      <c r="BN8" t="s">
        <v>78</v>
      </c>
      <c r="BO8" t="s">
        <v>95</v>
      </c>
      <c r="BP8" t="s">
        <v>154</v>
      </c>
      <c r="BQ8" t="s">
        <v>155</v>
      </c>
      <c r="BR8" t="s">
        <v>154</v>
      </c>
      <c r="BS8" t="s">
        <v>92</v>
      </c>
      <c r="BT8" t="s">
        <v>156</v>
      </c>
      <c r="BU8" t="s">
        <v>150</v>
      </c>
      <c r="BV8" t="str">
        <f t="shared" si="0"/>
        <v>W45PDA</v>
      </c>
    </row>
    <row r="9" spans="1:74" x14ac:dyDescent="0.25">
      <c r="A9" t="s">
        <v>73</v>
      </c>
      <c r="B9" t="s">
        <v>74</v>
      </c>
      <c r="C9" t="s">
        <v>157</v>
      </c>
      <c r="D9" t="s">
        <v>158</v>
      </c>
      <c r="G9" t="s">
        <v>676</v>
      </c>
      <c r="H9" t="s">
        <v>78</v>
      </c>
      <c r="I9" t="s">
        <v>90</v>
      </c>
      <c r="J9" t="s">
        <v>124</v>
      </c>
      <c r="K9" t="s">
        <v>152</v>
      </c>
      <c r="L9" t="s">
        <v>82</v>
      </c>
      <c r="N9" t="s">
        <v>126</v>
      </c>
      <c r="O9" t="s">
        <v>78</v>
      </c>
      <c r="P9" t="s">
        <v>91</v>
      </c>
      <c r="Q9" t="s">
        <v>78</v>
      </c>
      <c r="R9" t="s">
        <v>84</v>
      </c>
      <c r="S9" t="s">
        <v>78</v>
      </c>
      <c r="T9" t="s">
        <v>84</v>
      </c>
      <c r="U9" t="s">
        <v>78</v>
      </c>
      <c r="V9" t="s">
        <v>91</v>
      </c>
      <c r="W9" t="s">
        <v>84</v>
      </c>
      <c r="X9" t="s">
        <v>84</v>
      </c>
      <c r="Y9" t="s">
        <v>90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H9" t="s">
        <v>78</v>
      </c>
      <c r="AM9" t="s">
        <v>78</v>
      </c>
      <c r="AN9" t="s">
        <v>78</v>
      </c>
      <c r="AQ9" t="s">
        <v>78</v>
      </c>
      <c r="AR9" t="s">
        <v>78</v>
      </c>
      <c r="AV9" t="s">
        <v>153</v>
      </c>
      <c r="AW9" t="s">
        <v>89</v>
      </c>
      <c r="AX9" t="s">
        <v>90</v>
      </c>
      <c r="AY9" t="s">
        <v>78</v>
      </c>
      <c r="AZ9" t="s">
        <v>91</v>
      </c>
      <c r="BA9" t="s">
        <v>92</v>
      </c>
      <c r="BB9" t="s">
        <v>92</v>
      </c>
      <c r="BC9" t="s">
        <v>78</v>
      </c>
      <c r="BE9" t="s">
        <v>78</v>
      </c>
      <c r="BH9" t="s">
        <v>78</v>
      </c>
      <c r="BK9" t="s">
        <v>107</v>
      </c>
      <c r="BL9" t="s">
        <v>78</v>
      </c>
      <c r="BM9" t="s">
        <v>84</v>
      </c>
      <c r="BN9" t="s">
        <v>78</v>
      </c>
      <c r="BO9" t="s">
        <v>95</v>
      </c>
      <c r="BP9" t="s">
        <v>159</v>
      </c>
      <c r="BQ9" t="s">
        <v>160</v>
      </c>
      <c r="BR9" t="s">
        <v>159</v>
      </c>
      <c r="BS9" t="s">
        <v>92</v>
      </c>
      <c r="BT9" t="s">
        <v>156</v>
      </c>
      <c r="BU9" t="s">
        <v>157</v>
      </c>
      <c r="BV9" t="str">
        <f t="shared" si="0"/>
        <v>W45PDA</v>
      </c>
    </row>
    <row r="10" spans="1:74" x14ac:dyDescent="0.25">
      <c r="A10" t="s">
        <v>73</v>
      </c>
      <c r="B10" t="s">
        <v>74</v>
      </c>
      <c r="C10" t="s">
        <v>161</v>
      </c>
      <c r="D10" t="s">
        <v>162</v>
      </c>
      <c r="G10" t="s">
        <v>676</v>
      </c>
      <c r="H10" t="s">
        <v>78</v>
      </c>
      <c r="I10" t="s">
        <v>90</v>
      </c>
      <c r="J10" t="s">
        <v>124</v>
      </c>
      <c r="K10" t="s">
        <v>152</v>
      </c>
      <c r="L10" t="s">
        <v>82</v>
      </c>
      <c r="N10" t="s">
        <v>126</v>
      </c>
      <c r="O10" t="s">
        <v>78</v>
      </c>
      <c r="P10" t="s">
        <v>91</v>
      </c>
      <c r="Q10" t="s">
        <v>78</v>
      </c>
      <c r="R10" t="s">
        <v>84</v>
      </c>
      <c r="S10" t="s">
        <v>78</v>
      </c>
      <c r="T10" t="s">
        <v>84</v>
      </c>
      <c r="U10" t="s">
        <v>78</v>
      </c>
      <c r="V10" t="s">
        <v>91</v>
      </c>
      <c r="W10" t="s">
        <v>84</v>
      </c>
      <c r="X10" t="s">
        <v>84</v>
      </c>
      <c r="Y10" t="s">
        <v>90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H10" t="s">
        <v>78</v>
      </c>
      <c r="AM10" t="s">
        <v>78</v>
      </c>
      <c r="AN10" t="s">
        <v>78</v>
      </c>
      <c r="AQ10" t="s">
        <v>78</v>
      </c>
      <c r="AR10" t="s">
        <v>78</v>
      </c>
      <c r="AV10" t="s">
        <v>163</v>
      </c>
      <c r="AW10" t="s">
        <v>89</v>
      </c>
      <c r="AX10" t="s">
        <v>90</v>
      </c>
      <c r="AY10" t="s">
        <v>78</v>
      </c>
      <c r="AZ10" t="s">
        <v>91</v>
      </c>
      <c r="BA10" t="s">
        <v>92</v>
      </c>
      <c r="BB10" t="s">
        <v>92</v>
      </c>
      <c r="BC10" t="s">
        <v>78</v>
      </c>
      <c r="BE10" t="s">
        <v>78</v>
      </c>
      <c r="BH10" t="s">
        <v>78</v>
      </c>
      <c r="BK10" t="s">
        <v>107</v>
      </c>
      <c r="BL10" t="s">
        <v>78</v>
      </c>
      <c r="BM10" t="s">
        <v>84</v>
      </c>
      <c r="BN10" t="s">
        <v>78</v>
      </c>
      <c r="BO10" t="s">
        <v>95</v>
      </c>
      <c r="BP10" t="s">
        <v>164</v>
      </c>
      <c r="BQ10" t="s">
        <v>165</v>
      </c>
      <c r="BR10" t="s">
        <v>166</v>
      </c>
      <c r="BS10" t="s">
        <v>167</v>
      </c>
      <c r="BT10" t="s">
        <v>112</v>
      </c>
      <c r="BU10" t="s">
        <v>161</v>
      </c>
      <c r="BV10" t="str">
        <f t="shared" si="0"/>
        <v>W45PDA</v>
      </c>
    </row>
    <row r="11" spans="1:74" x14ac:dyDescent="0.25">
      <c r="A11" t="s">
        <v>73</v>
      </c>
      <c r="B11" t="s">
        <v>74</v>
      </c>
      <c r="C11" t="s">
        <v>168</v>
      </c>
      <c r="D11" t="s">
        <v>169</v>
      </c>
      <c r="G11" t="s">
        <v>677</v>
      </c>
      <c r="H11" t="s">
        <v>78</v>
      </c>
      <c r="I11" t="s">
        <v>90</v>
      </c>
      <c r="J11" t="s">
        <v>124</v>
      </c>
      <c r="K11" t="s">
        <v>152</v>
      </c>
      <c r="L11" t="s">
        <v>171</v>
      </c>
      <c r="N11" t="s">
        <v>126</v>
      </c>
      <c r="O11" t="s">
        <v>78</v>
      </c>
      <c r="P11" t="s">
        <v>91</v>
      </c>
      <c r="Q11" t="s">
        <v>78</v>
      </c>
      <c r="R11" t="s">
        <v>84</v>
      </c>
      <c r="S11" t="s">
        <v>78</v>
      </c>
      <c r="T11" t="s">
        <v>84</v>
      </c>
      <c r="U11" t="s">
        <v>78</v>
      </c>
      <c r="V11" t="s">
        <v>91</v>
      </c>
      <c r="W11" t="s">
        <v>84</v>
      </c>
      <c r="X11" t="s">
        <v>84</v>
      </c>
      <c r="Y11" t="s">
        <v>90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H11" t="s">
        <v>78</v>
      </c>
      <c r="AM11" t="s">
        <v>78</v>
      </c>
      <c r="AN11" t="s">
        <v>78</v>
      </c>
      <c r="AQ11" t="s">
        <v>78</v>
      </c>
      <c r="AR11" t="s">
        <v>78</v>
      </c>
      <c r="AV11" t="s">
        <v>172</v>
      </c>
      <c r="AW11" t="s">
        <v>89</v>
      </c>
      <c r="AX11" t="s">
        <v>90</v>
      </c>
      <c r="AY11" t="s">
        <v>78</v>
      </c>
      <c r="AZ11" t="s">
        <v>91</v>
      </c>
      <c r="BA11" t="s">
        <v>92</v>
      </c>
      <c r="BB11" t="s">
        <v>92</v>
      </c>
      <c r="BC11" t="s">
        <v>78</v>
      </c>
      <c r="BE11" t="s">
        <v>78</v>
      </c>
      <c r="BH11" t="s">
        <v>78</v>
      </c>
      <c r="BK11" t="s">
        <v>107</v>
      </c>
      <c r="BL11" t="s">
        <v>78</v>
      </c>
      <c r="BM11" t="s">
        <v>84</v>
      </c>
      <c r="BN11" t="s">
        <v>78</v>
      </c>
      <c r="BO11" t="s">
        <v>95</v>
      </c>
      <c r="BP11" t="s">
        <v>173</v>
      </c>
      <c r="BQ11" t="s">
        <v>174</v>
      </c>
      <c r="BR11" t="s">
        <v>175</v>
      </c>
      <c r="BS11" t="s">
        <v>176</v>
      </c>
      <c r="BT11" t="s">
        <v>177</v>
      </c>
      <c r="BU11" t="s">
        <v>168</v>
      </c>
      <c r="BV11" t="str">
        <f t="shared" si="0"/>
        <v>W40PDA</v>
      </c>
    </row>
    <row r="12" spans="1:74" x14ac:dyDescent="0.25">
      <c r="A12" t="s">
        <v>73</v>
      </c>
      <c r="B12" t="s">
        <v>74</v>
      </c>
      <c r="C12" t="s">
        <v>178</v>
      </c>
      <c r="D12" t="s">
        <v>179</v>
      </c>
      <c r="G12" t="s">
        <v>677</v>
      </c>
      <c r="H12" t="s">
        <v>78</v>
      </c>
      <c r="I12" t="s">
        <v>90</v>
      </c>
      <c r="J12" t="s">
        <v>124</v>
      </c>
      <c r="K12" t="s">
        <v>152</v>
      </c>
      <c r="L12" t="s">
        <v>180</v>
      </c>
      <c r="N12" t="s">
        <v>126</v>
      </c>
      <c r="O12" t="s">
        <v>78</v>
      </c>
      <c r="P12" t="s">
        <v>91</v>
      </c>
      <c r="Q12" t="s">
        <v>78</v>
      </c>
      <c r="R12" t="s">
        <v>84</v>
      </c>
      <c r="S12" t="s">
        <v>78</v>
      </c>
      <c r="T12" t="s">
        <v>84</v>
      </c>
      <c r="U12" t="s">
        <v>78</v>
      </c>
      <c r="V12" t="s">
        <v>91</v>
      </c>
      <c r="W12" t="s">
        <v>84</v>
      </c>
      <c r="X12" t="s">
        <v>84</v>
      </c>
      <c r="Y12" t="s">
        <v>90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H12" t="s">
        <v>78</v>
      </c>
      <c r="AM12" t="s">
        <v>78</v>
      </c>
      <c r="AN12" t="s">
        <v>78</v>
      </c>
      <c r="AQ12" t="s">
        <v>78</v>
      </c>
      <c r="AR12" t="s">
        <v>78</v>
      </c>
      <c r="AV12" t="s">
        <v>172</v>
      </c>
      <c r="AW12" t="s">
        <v>89</v>
      </c>
      <c r="AX12" t="s">
        <v>90</v>
      </c>
      <c r="AY12" t="s">
        <v>78</v>
      </c>
      <c r="AZ12" t="s">
        <v>91</v>
      </c>
      <c r="BA12" t="s">
        <v>92</v>
      </c>
      <c r="BB12" t="s">
        <v>92</v>
      </c>
      <c r="BC12" t="s">
        <v>78</v>
      </c>
      <c r="BE12" t="s">
        <v>78</v>
      </c>
      <c r="BH12" t="s">
        <v>78</v>
      </c>
      <c r="BK12" t="s">
        <v>107</v>
      </c>
      <c r="BL12" t="s">
        <v>78</v>
      </c>
      <c r="BM12" t="s">
        <v>84</v>
      </c>
      <c r="BN12" t="s">
        <v>78</v>
      </c>
      <c r="BO12" t="s">
        <v>95</v>
      </c>
      <c r="BP12" t="s">
        <v>173</v>
      </c>
      <c r="BQ12" t="s">
        <v>181</v>
      </c>
      <c r="BR12" t="s">
        <v>182</v>
      </c>
      <c r="BS12" t="s">
        <v>74</v>
      </c>
      <c r="BT12" t="s">
        <v>183</v>
      </c>
      <c r="BU12" t="s">
        <v>178</v>
      </c>
      <c r="BV12" t="str">
        <f t="shared" si="0"/>
        <v>W40PDA</v>
      </c>
    </row>
    <row r="13" spans="1:74" x14ac:dyDescent="0.25">
      <c r="A13" t="s">
        <v>73</v>
      </c>
      <c r="B13" t="s">
        <v>74</v>
      </c>
      <c r="C13" t="s">
        <v>184</v>
      </c>
      <c r="D13" t="s">
        <v>185</v>
      </c>
      <c r="G13" t="s">
        <v>676</v>
      </c>
      <c r="H13" t="s">
        <v>78</v>
      </c>
      <c r="I13" t="s">
        <v>90</v>
      </c>
      <c r="J13" t="s">
        <v>124</v>
      </c>
      <c r="K13" t="s">
        <v>152</v>
      </c>
      <c r="L13" t="s">
        <v>82</v>
      </c>
      <c r="N13" t="s">
        <v>126</v>
      </c>
      <c r="O13" t="s">
        <v>78</v>
      </c>
      <c r="P13" t="s">
        <v>91</v>
      </c>
      <c r="Q13" t="s">
        <v>78</v>
      </c>
      <c r="R13" t="s">
        <v>84</v>
      </c>
      <c r="S13" t="s">
        <v>78</v>
      </c>
      <c r="T13" t="s">
        <v>84</v>
      </c>
      <c r="U13" t="s">
        <v>78</v>
      </c>
      <c r="V13" t="s">
        <v>91</v>
      </c>
      <c r="W13" t="s">
        <v>84</v>
      </c>
      <c r="X13" t="s">
        <v>84</v>
      </c>
      <c r="Y13" t="s">
        <v>90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H13" t="s">
        <v>78</v>
      </c>
      <c r="AM13" t="s">
        <v>78</v>
      </c>
      <c r="AN13" t="s">
        <v>78</v>
      </c>
      <c r="AQ13" t="s">
        <v>78</v>
      </c>
      <c r="AR13" t="s">
        <v>78</v>
      </c>
      <c r="AV13" t="s">
        <v>172</v>
      </c>
      <c r="AW13" t="s">
        <v>89</v>
      </c>
      <c r="AX13" t="s">
        <v>90</v>
      </c>
      <c r="AY13" t="s">
        <v>78</v>
      </c>
      <c r="AZ13" t="s">
        <v>91</v>
      </c>
      <c r="BA13" t="s">
        <v>92</v>
      </c>
      <c r="BB13" t="s">
        <v>92</v>
      </c>
      <c r="BC13" t="s">
        <v>78</v>
      </c>
      <c r="BE13" t="s">
        <v>78</v>
      </c>
      <c r="BH13" t="s">
        <v>78</v>
      </c>
      <c r="BK13" t="s">
        <v>107</v>
      </c>
      <c r="BL13" t="s">
        <v>78</v>
      </c>
      <c r="BM13" t="s">
        <v>84</v>
      </c>
      <c r="BN13" t="s">
        <v>78</v>
      </c>
      <c r="BO13" t="s">
        <v>95</v>
      </c>
      <c r="BP13" t="s">
        <v>173</v>
      </c>
      <c r="BQ13" t="s">
        <v>186</v>
      </c>
      <c r="BR13" t="s">
        <v>187</v>
      </c>
      <c r="BS13" t="s">
        <v>188</v>
      </c>
      <c r="BT13" t="s">
        <v>112</v>
      </c>
      <c r="BU13" t="s">
        <v>184</v>
      </c>
      <c r="BV13" t="str">
        <f t="shared" si="0"/>
        <v>W45PDA</v>
      </c>
    </row>
    <row r="14" spans="1:74" x14ac:dyDescent="0.25">
      <c r="A14" t="s">
        <v>73</v>
      </c>
      <c r="B14" t="s">
        <v>74</v>
      </c>
      <c r="C14" t="s">
        <v>189</v>
      </c>
      <c r="D14" t="s">
        <v>190</v>
      </c>
      <c r="G14" t="s">
        <v>676</v>
      </c>
      <c r="H14" t="s">
        <v>78</v>
      </c>
      <c r="I14" t="s">
        <v>90</v>
      </c>
      <c r="J14" t="s">
        <v>124</v>
      </c>
      <c r="K14" t="s">
        <v>152</v>
      </c>
      <c r="L14" t="s">
        <v>82</v>
      </c>
      <c r="N14" t="s">
        <v>126</v>
      </c>
      <c r="O14" t="s">
        <v>78</v>
      </c>
      <c r="P14" t="s">
        <v>91</v>
      </c>
      <c r="Q14" t="s">
        <v>78</v>
      </c>
      <c r="R14" t="s">
        <v>84</v>
      </c>
      <c r="S14" t="s">
        <v>78</v>
      </c>
      <c r="T14" t="s">
        <v>84</v>
      </c>
      <c r="U14" t="s">
        <v>78</v>
      </c>
      <c r="V14" t="s">
        <v>91</v>
      </c>
      <c r="W14" t="s">
        <v>84</v>
      </c>
      <c r="X14" t="s">
        <v>84</v>
      </c>
      <c r="Y14" t="s">
        <v>90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H14" t="s">
        <v>78</v>
      </c>
      <c r="AM14" t="s">
        <v>78</v>
      </c>
      <c r="AN14" t="s">
        <v>78</v>
      </c>
      <c r="AQ14" t="s">
        <v>78</v>
      </c>
      <c r="AR14" t="s">
        <v>78</v>
      </c>
      <c r="AV14" t="s">
        <v>163</v>
      </c>
      <c r="AW14" t="s">
        <v>89</v>
      </c>
      <c r="AX14" t="s">
        <v>90</v>
      </c>
      <c r="AY14" t="s">
        <v>78</v>
      </c>
      <c r="AZ14" t="s">
        <v>91</v>
      </c>
      <c r="BA14" t="s">
        <v>92</v>
      </c>
      <c r="BB14" t="s">
        <v>92</v>
      </c>
      <c r="BC14" t="s">
        <v>78</v>
      </c>
      <c r="BE14" t="s">
        <v>78</v>
      </c>
      <c r="BH14" t="s">
        <v>78</v>
      </c>
      <c r="BK14" t="s">
        <v>107</v>
      </c>
      <c r="BL14" t="s">
        <v>78</v>
      </c>
      <c r="BM14" t="s">
        <v>78</v>
      </c>
      <c r="BN14" t="s">
        <v>78</v>
      </c>
      <c r="BO14" t="s">
        <v>95</v>
      </c>
      <c r="BP14" t="s">
        <v>191</v>
      </c>
      <c r="BQ14" t="s">
        <v>192</v>
      </c>
      <c r="BR14" t="s">
        <v>193</v>
      </c>
      <c r="BS14" t="s">
        <v>194</v>
      </c>
      <c r="BT14" t="s">
        <v>121</v>
      </c>
      <c r="BU14" t="s">
        <v>189</v>
      </c>
      <c r="BV14" t="str">
        <f t="shared" si="0"/>
        <v>W45PDA</v>
      </c>
    </row>
    <row r="15" spans="1:74" x14ac:dyDescent="0.25">
      <c r="A15" t="s">
        <v>73</v>
      </c>
      <c r="B15" t="s">
        <v>74</v>
      </c>
      <c r="C15" t="s">
        <v>195</v>
      </c>
      <c r="D15" t="s">
        <v>196</v>
      </c>
      <c r="E15" t="s">
        <v>197</v>
      </c>
      <c r="G15" t="s">
        <v>677</v>
      </c>
      <c r="H15" t="s">
        <v>78</v>
      </c>
      <c r="I15" t="s">
        <v>90</v>
      </c>
      <c r="J15" t="s">
        <v>124</v>
      </c>
      <c r="K15" t="s">
        <v>152</v>
      </c>
      <c r="L15" t="s">
        <v>82</v>
      </c>
      <c r="N15" t="s">
        <v>126</v>
      </c>
      <c r="O15" t="s">
        <v>78</v>
      </c>
      <c r="P15" t="s">
        <v>91</v>
      </c>
      <c r="Q15" t="s">
        <v>78</v>
      </c>
      <c r="R15" t="s">
        <v>84</v>
      </c>
      <c r="S15" t="s">
        <v>78</v>
      </c>
      <c r="T15" t="s">
        <v>84</v>
      </c>
      <c r="U15" t="s">
        <v>78</v>
      </c>
      <c r="V15" t="s">
        <v>91</v>
      </c>
      <c r="W15" t="s">
        <v>84</v>
      </c>
      <c r="X15" t="s">
        <v>84</v>
      </c>
      <c r="Y15" t="s">
        <v>90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H15" t="s">
        <v>78</v>
      </c>
      <c r="AM15" t="s">
        <v>78</v>
      </c>
      <c r="AN15" t="s">
        <v>78</v>
      </c>
      <c r="AQ15" t="s">
        <v>78</v>
      </c>
      <c r="AR15" t="s">
        <v>78</v>
      </c>
      <c r="AV15" t="s">
        <v>153</v>
      </c>
      <c r="AW15" t="s">
        <v>89</v>
      </c>
      <c r="AX15" t="s">
        <v>90</v>
      </c>
      <c r="AY15" t="s">
        <v>78</v>
      </c>
      <c r="AZ15" t="s">
        <v>91</v>
      </c>
      <c r="BA15" t="s">
        <v>92</v>
      </c>
      <c r="BB15" t="s">
        <v>92</v>
      </c>
      <c r="BC15" t="s">
        <v>78</v>
      </c>
      <c r="BE15" t="s">
        <v>78</v>
      </c>
      <c r="BH15" t="s">
        <v>78</v>
      </c>
      <c r="BK15" t="s">
        <v>107</v>
      </c>
      <c r="BL15" t="s">
        <v>78</v>
      </c>
      <c r="BM15" t="s">
        <v>84</v>
      </c>
      <c r="BN15" t="s">
        <v>78</v>
      </c>
      <c r="BO15" t="s">
        <v>95</v>
      </c>
      <c r="BP15" t="s">
        <v>198</v>
      </c>
      <c r="BQ15" t="s">
        <v>199</v>
      </c>
      <c r="BR15" t="s">
        <v>187</v>
      </c>
      <c r="BS15" t="s">
        <v>200</v>
      </c>
      <c r="BT15" t="s">
        <v>112</v>
      </c>
      <c r="BU15" t="s">
        <v>195</v>
      </c>
      <c r="BV15" t="str">
        <f t="shared" si="0"/>
        <v>W40PDA</v>
      </c>
    </row>
    <row r="16" spans="1:74" x14ac:dyDescent="0.25">
      <c r="A16" t="s">
        <v>73</v>
      </c>
      <c r="B16" t="s">
        <v>74</v>
      </c>
      <c r="C16" t="s">
        <v>201</v>
      </c>
      <c r="D16" t="s">
        <v>202</v>
      </c>
      <c r="E16" t="s">
        <v>203</v>
      </c>
      <c r="G16" t="s">
        <v>676</v>
      </c>
      <c r="H16" t="s">
        <v>78</v>
      </c>
      <c r="I16" t="s">
        <v>102</v>
      </c>
      <c r="J16" t="s">
        <v>103</v>
      </c>
      <c r="K16" t="s">
        <v>104</v>
      </c>
      <c r="L16" t="s">
        <v>105</v>
      </c>
      <c r="N16" t="s">
        <v>106</v>
      </c>
      <c r="O16" t="s">
        <v>78</v>
      </c>
      <c r="P16" t="s">
        <v>91</v>
      </c>
      <c r="Q16" t="s">
        <v>78</v>
      </c>
      <c r="R16" t="s">
        <v>84</v>
      </c>
      <c r="S16" t="s">
        <v>78</v>
      </c>
      <c r="T16" t="s">
        <v>84</v>
      </c>
      <c r="U16" t="s">
        <v>78</v>
      </c>
      <c r="V16" t="s">
        <v>78</v>
      </c>
      <c r="W16" t="s">
        <v>84</v>
      </c>
      <c r="X16" t="s">
        <v>84</v>
      </c>
      <c r="Y16" t="s">
        <v>102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H16" t="s">
        <v>78</v>
      </c>
      <c r="AM16" t="s">
        <v>78</v>
      </c>
      <c r="AN16" t="s">
        <v>78</v>
      </c>
      <c r="AQ16" t="s">
        <v>78</v>
      </c>
      <c r="AR16" t="s">
        <v>78</v>
      </c>
      <c r="AW16" t="s">
        <v>78</v>
      </c>
      <c r="AX16" t="s">
        <v>102</v>
      </c>
      <c r="AY16" t="s">
        <v>78</v>
      </c>
      <c r="AZ16" t="s">
        <v>78</v>
      </c>
      <c r="BA16" t="s">
        <v>92</v>
      </c>
      <c r="BB16" t="s">
        <v>92</v>
      </c>
      <c r="BC16" t="s">
        <v>78</v>
      </c>
      <c r="BE16" t="s">
        <v>78</v>
      </c>
      <c r="BH16" t="s">
        <v>78</v>
      </c>
      <c r="BK16" t="s">
        <v>107</v>
      </c>
      <c r="BL16" t="s">
        <v>78</v>
      </c>
      <c r="BM16" t="s">
        <v>78</v>
      </c>
      <c r="BN16" t="s">
        <v>78</v>
      </c>
      <c r="BO16" t="s">
        <v>127</v>
      </c>
      <c r="BP16" t="s">
        <v>204</v>
      </c>
      <c r="BQ16" t="s">
        <v>205</v>
      </c>
      <c r="BR16" t="s">
        <v>206</v>
      </c>
      <c r="BS16" t="s">
        <v>207</v>
      </c>
      <c r="BT16" t="s">
        <v>98</v>
      </c>
      <c r="BU16" t="s">
        <v>201</v>
      </c>
      <c r="BV16" t="str">
        <f t="shared" si="0"/>
        <v>W45PDA</v>
      </c>
    </row>
    <row r="17" spans="1:74" x14ac:dyDescent="0.25">
      <c r="A17" t="s">
        <v>73</v>
      </c>
      <c r="B17" t="s">
        <v>74</v>
      </c>
      <c r="C17" t="s">
        <v>208</v>
      </c>
      <c r="D17" t="s">
        <v>209</v>
      </c>
      <c r="E17" t="s">
        <v>210</v>
      </c>
      <c r="G17" t="s">
        <v>677</v>
      </c>
      <c r="H17" t="s">
        <v>78</v>
      </c>
      <c r="I17" t="s">
        <v>90</v>
      </c>
      <c r="J17" t="s">
        <v>124</v>
      </c>
      <c r="K17" t="s">
        <v>152</v>
      </c>
      <c r="L17" t="s">
        <v>82</v>
      </c>
      <c r="N17" t="s">
        <v>126</v>
      </c>
      <c r="O17" t="s">
        <v>78</v>
      </c>
      <c r="P17" t="s">
        <v>91</v>
      </c>
      <c r="Q17" t="s">
        <v>78</v>
      </c>
      <c r="R17" t="s">
        <v>84</v>
      </c>
      <c r="S17" t="s">
        <v>78</v>
      </c>
      <c r="T17" t="s">
        <v>84</v>
      </c>
      <c r="U17" t="s">
        <v>78</v>
      </c>
      <c r="V17" t="s">
        <v>91</v>
      </c>
      <c r="W17" t="s">
        <v>84</v>
      </c>
      <c r="X17" t="s">
        <v>84</v>
      </c>
      <c r="Y17" t="s">
        <v>90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H17" t="s">
        <v>78</v>
      </c>
      <c r="AM17" t="s">
        <v>78</v>
      </c>
      <c r="AN17" t="s">
        <v>78</v>
      </c>
      <c r="AQ17" t="s">
        <v>78</v>
      </c>
      <c r="AR17" t="s">
        <v>78</v>
      </c>
      <c r="AV17" t="s">
        <v>153</v>
      </c>
      <c r="AW17" t="s">
        <v>89</v>
      </c>
      <c r="AX17" t="s">
        <v>90</v>
      </c>
      <c r="AY17" t="s">
        <v>78</v>
      </c>
      <c r="AZ17" t="s">
        <v>91</v>
      </c>
      <c r="BA17" t="s">
        <v>92</v>
      </c>
      <c r="BB17" t="s">
        <v>92</v>
      </c>
      <c r="BC17" t="s">
        <v>78</v>
      </c>
      <c r="BE17" t="s">
        <v>78</v>
      </c>
      <c r="BH17" t="s">
        <v>78</v>
      </c>
      <c r="BK17" t="s">
        <v>107</v>
      </c>
      <c r="BL17" t="s">
        <v>78</v>
      </c>
      <c r="BM17" t="s">
        <v>84</v>
      </c>
      <c r="BN17" t="s">
        <v>78</v>
      </c>
      <c r="BO17" t="s">
        <v>95</v>
      </c>
      <c r="BP17" t="s">
        <v>211</v>
      </c>
      <c r="BQ17" t="s">
        <v>212</v>
      </c>
      <c r="BR17" t="s">
        <v>187</v>
      </c>
      <c r="BS17" t="s">
        <v>213</v>
      </c>
      <c r="BT17" t="s">
        <v>112</v>
      </c>
      <c r="BU17" t="s">
        <v>208</v>
      </c>
      <c r="BV17" t="str">
        <f t="shared" si="0"/>
        <v>W40PDA</v>
      </c>
    </row>
    <row r="18" spans="1:74" x14ac:dyDescent="0.25">
      <c r="A18" t="s">
        <v>73</v>
      </c>
      <c r="B18" t="s">
        <v>74</v>
      </c>
      <c r="C18" t="s">
        <v>214</v>
      </c>
      <c r="D18" t="s">
        <v>215</v>
      </c>
      <c r="G18" t="s">
        <v>676</v>
      </c>
      <c r="H18" t="s">
        <v>78</v>
      </c>
      <c r="I18" t="s">
        <v>90</v>
      </c>
      <c r="J18" t="s">
        <v>124</v>
      </c>
      <c r="K18" t="s">
        <v>152</v>
      </c>
      <c r="L18" t="s">
        <v>82</v>
      </c>
      <c r="N18" t="s">
        <v>126</v>
      </c>
      <c r="O18" t="s">
        <v>78</v>
      </c>
      <c r="P18" t="s">
        <v>91</v>
      </c>
      <c r="Q18" t="s">
        <v>78</v>
      </c>
      <c r="R18" t="s">
        <v>84</v>
      </c>
      <c r="S18" t="s">
        <v>78</v>
      </c>
      <c r="T18" t="s">
        <v>84</v>
      </c>
      <c r="U18" t="s">
        <v>78</v>
      </c>
      <c r="V18" t="s">
        <v>91</v>
      </c>
      <c r="W18" t="s">
        <v>84</v>
      </c>
      <c r="X18" t="s">
        <v>84</v>
      </c>
      <c r="Y18" t="s">
        <v>90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H18" t="s">
        <v>78</v>
      </c>
      <c r="AM18" t="s">
        <v>78</v>
      </c>
      <c r="AN18" t="s">
        <v>78</v>
      </c>
      <c r="AQ18" t="s">
        <v>78</v>
      </c>
      <c r="AR18" t="s">
        <v>78</v>
      </c>
      <c r="AV18" t="s">
        <v>163</v>
      </c>
      <c r="AW18" t="s">
        <v>89</v>
      </c>
      <c r="AX18" t="s">
        <v>90</v>
      </c>
      <c r="AY18" t="s">
        <v>78</v>
      </c>
      <c r="AZ18" t="s">
        <v>91</v>
      </c>
      <c r="BA18" t="s">
        <v>92</v>
      </c>
      <c r="BB18" t="s">
        <v>92</v>
      </c>
      <c r="BC18" t="s">
        <v>78</v>
      </c>
      <c r="BE18" t="s">
        <v>78</v>
      </c>
      <c r="BH18" t="s">
        <v>78</v>
      </c>
      <c r="BK18" t="s">
        <v>107</v>
      </c>
      <c r="BL18" t="s">
        <v>78</v>
      </c>
      <c r="BM18" t="s">
        <v>78</v>
      </c>
      <c r="BN18" t="s">
        <v>78</v>
      </c>
      <c r="BO18" t="s">
        <v>95</v>
      </c>
      <c r="BP18" t="s">
        <v>216</v>
      </c>
      <c r="BQ18" t="s">
        <v>217</v>
      </c>
      <c r="BR18" t="s">
        <v>216</v>
      </c>
      <c r="BS18" t="s">
        <v>218</v>
      </c>
      <c r="BT18" t="s">
        <v>219</v>
      </c>
      <c r="BU18" t="s">
        <v>214</v>
      </c>
      <c r="BV18" t="str">
        <f t="shared" si="0"/>
        <v>W45PDA</v>
      </c>
    </row>
    <row r="19" spans="1:74" x14ac:dyDescent="0.25">
      <c r="A19" t="s">
        <v>73</v>
      </c>
      <c r="B19" t="s">
        <v>74</v>
      </c>
      <c r="C19" t="s">
        <v>220</v>
      </c>
      <c r="D19" t="s">
        <v>221</v>
      </c>
      <c r="G19" t="s">
        <v>676</v>
      </c>
      <c r="H19" t="s">
        <v>78</v>
      </c>
      <c r="I19" t="s">
        <v>90</v>
      </c>
      <c r="J19" t="s">
        <v>222</v>
      </c>
      <c r="K19" t="s">
        <v>223</v>
      </c>
      <c r="L19" t="s">
        <v>224</v>
      </c>
      <c r="N19" t="s">
        <v>126</v>
      </c>
      <c r="O19" t="s">
        <v>78</v>
      </c>
      <c r="P19" t="s">
        <v>91</v>
      </c>
      <c r="Q19" t="s">
        <v>78</v>
      </c>
      <c r="R19" t="s">
        <v>84</v>
      </c>
      <c r="S19" t="s">
        <v>78</v>
      </c>
      <c r="T19" t="s">
        <v>84</v>
      </c>
      <c r="U19" t="s">
        <v>89</v>
      </c>
      <c r="V19" t="s">
        <v>91</v>
      </c>
      <c r="W19" t="s">
        <v>78</v>
      </c>
      <c r="X19" t="s">
        <v>78</v>
      </c>
      <c r="Y19" t="s">
        <v>90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H19" t="s">
        <v>78</v>
      </c>
      <c r="AM19" t="s">
        <v>78</v>
      </c>
      <c r="AN19" t="s">
        <v>78</v>
      </c>
      <c r="AQ19" t="s">
        <v>78</v>
      </c>
      <c r="AR19" t="s">
        <v>78</v>
      </c>
      <c r="AW19" t="s">
        <v>89</v>
      </c>
      <c r="AX19" t="s">
        <v>90</v>
      </c>
      <c r="AY19" t="s">
        <v>78</v>
      </c>
      <c r="AZ19" t="s">
        <v>91</v>
      </c>
      <c r="BA19" t="s">
        <v>92</v>
      </c>
      <c r="BB19" t="s">
        <v>92</v>
      </c>
      <c r="BC19" t="s">
        <v>78</v>
      </c>
      <c r="BE19" t="s">
        <v>78</v>
      </c>
      <c r="BH19" t="s">
        <v>78</v>
      </c>
      <c r="BL19" t="s">
        <v>78</v>
      </c>
      <c r="BM19" t="s">
        <v>78</v>
      </c>
      <c r="BN19" t="s">
        <v>78</v>
      </c>
      <c r="BO19" t="s">
        <v>127</v>
      </c>
      <c r="BP19" t="s">
        <v>225</v>
      </c>
      <c r="BQ19" t="s">
        <v>226</v>
      </c>
      <c r="BR19" t="s">
        <v>227</v>
      </c>
      <c r="BS19" t="s">
        <v>228</v>
      </c>
      <c r="BT19" t="s">
        <v>121</v>
      </c>
      <c r="BU19" t="s">
        <v>220</v>
      </c>
      <c r="BV19" t="str">
        <f t="shared" si="0"/>
        <v>W45PDA</v>
      </c>
    </row>
    <row r="20" spans="1:74" x14ac:dyDescent="0.25">
      <c r="A20" t="s">
        <v>73</v>
      </c>
      <c r="B20" t="s">
        <v>74</v>
      </c>
      <c r="C20" t="s">
        <v>229</v>
      </c>
      <c r="D20" t="s">
        <v>230</v>
      </c>
      <c r="E20" t="s">
        <v>231</v>
      </c>
      <c r="G20" t="s">
        <v>676</v>
      </c>
      <c r="H20" t="s">
        <v>78</v>
      </c>
      <c r="I20" t="s">
        <v>90</v>
      </c>
      <c r="J20" t="s">
        <v>124</v>
      </c>
      <c r="K20" t="s">
        <v>125</v>
      </c>
      <c r="L20" t="s">
        <v>180</v>
      </c>
      <c r="N20" t="s">
        <v>126</v>
      </c>
      <c r="O20" t="s">
        <v>78</v>
      </c>
      <c r="P20" t="s">
        <v>91</v>
      </c>
      <c r="Q20" t="s">
        <v>78</v>
      </c>
      <c r="R20" t="s">
        <v>84</v>
      </c>
      <c r="S20" t="s">
        <v>78</v>
      </c>
      <c r="T20" t="s">
        <v>84</v>
      </c>
      <c r="U20" t="s">
        <v>78</v>
      </c>
      <c r="V20" t="s">
        <v>91</v>
      </c>
      <c r="W20" t="s">
        <v>84</v>
      </c>
      <c r="X20" t="s">
        <v>84</v>
      </c>
      <c r="Y20" t="s">
        <v>90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H20" t="s">
        <v>78</v>
      </c>
      <c r="AM20" t="s">
        <v>78</v>
      </c>
      <c r="AN20" t="s">
        <v>78</v>
      </c>
      <c r="AQ20" t="s">
        <v>78</v>
      </c>
      <c r="AR20" t="s">
        <v>78</v>
      </c>
      <c r="AV20" t="s">
        <v>88</v>
      </c>
      <c r="AW20" t="s">
        <v>89</v>
      </c>
      <c r="AX20" t="s">
        <v>90</v>
      </c>
      <c r="AY20" t="s">
        <v>78</v>
      </c>
      <c r="AZ20" t="s">
        <v>91</v>
      </c>
      <c r="BA20" t="s">
        <v>92</v>
      </c>
      <c r="BB20" t="s">
        <v>92</v>
      </c>
      <c r="BC20" t="s">
        <v>78</v>
      </c>
      <c r="BE20" t="s">
        <v>78</v>
      </c>
      <c r="BH20" t="s">
        <v>78</v>
      </c>
      <c r="BK20" t="s">
        <v>107</v>
      </c>
      <c r="BL20" t="s">
        <v>78</v>
      </c>
      <c r="BM20" t="s">
        <v>78</v>
      </c>
      <c r="BN20" t="s">
        <v>78</v>
      </c>
      <c r="BO20" t="s">
        <v>127</v>
      </c>
      <c r="BP20" t="s">
        <v>232</v>
      </c>
      <c r="BQ20" t="s">
        <v>233</v>
      </c>
      <c r="BR20" t="s">
        <v>234</v>
      </c>
      <c r="BS20" t="s">
        <v>235</v>
      </c>
      <c r="BT20" t="s">
        <v>121</v>
      </c>
      <c r="BU20" t="s">
        <v>229</v>
      </c>
      <c r="BV20" t="str">
        <f t="shared" si="0"/>
        <v>W45PDA</v>
      </c>
    </row>
    <row r="21" spans="1:74" x14ac:dyDescent="0.25">
      <c r="A21" t="s">
        <v>73</v>
      </c>
      <c r="B21" t="s">
        <v>74</v>
      </c>
      <c r="C21" t="s">
        <v>236</v>
      </c>
      <c r="D21" t="s">
        <v>237</v>
      </c>
      <c r="E21" t="s">
        <v>237</v>
      </c>
      <c r="G21" t="s">
        <v>677</v>
      </c>
      <c r="H21" t="s">
        <v>78</v>
      </c>
      <c r="I21" t="s">
        <v>90</v>
      </c>
      <c r="J21" t="s">
        <v>124</v>
      </c>
      <c r="K21" t="s">
        <v>125</v>
      </c>
      <c r="L21" t="s">
        <v>224</v>
      </c>
      <c r="N21" t="s">
        <v>126</v>
      </c>
      <c r="O21" t="s">
        <v>78</v>
      </c>
      <c r="P21" t="s">
        <v>91</v>
      </c>
      <c r="Q21" t="s">
        <v>78</v>
      </c>
      <c r="R21" t="s">
        <v>84</v>
      </c>
      <c r="S21" t="s">
        <v>78</v>
      </c>
      <c r="T21" t="s">
        <v>84</v>
      </c>
      <c r="U21" t="s">
        <v>89</v>
      </c>
      <c r="V21" t="s">
        <v>91</v>
      </c>
      <c r="W21" t="s">
        <v>78</v>
      </c>
      <c r="X21" t="s">
        <v>78</v>
      </c>
      <c r="Y21" t="s">
        <v>90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H21" t="s">
        <v>78</v>
      </c>
      <c r="AM21" t="s">
        <v>78</v>
      </c>
      <c r="AN21" t="s">
        <v>78</v>
      </c>
      <c r="AQ21" t="s">
        <v>78</v>
      </c>
      <c r="AR21" t="s">
        <v>78</v>
      </c>
      <c r="AW21" t="s">
        <v>89</v>
      </c>
      <c r="AX21" t="s">
        <v>90</v>
      </c>
      <c r="AY21" t="s">
        <v>78</v>
      </c>
      <c r="AZ21" t="s">
        <v>91</v>
      </c>
      <c r="BA21" t="s">
        <v>92</v>
      </c>
      <c r="BB21" t="s">
        <v>92</v>
      </c>
      <c r="BC21" t="s">
        <v>78</v>
      </c>
      <c r="BE21" t="s">
        <v>78</v>
      </c>
      <c r="BH21" t="s">
        <v>78</v>
      </c>
      <c r="BL21" t="s">
        <v>78</v>
      </c>
      <c r="BM21" t="s">
        <v>78</v>
      </c>
      <c r="BN21" t="s">
        <v>78</v>
      </c>
      <c r="BO21" t="s">
        <v>95</v>
      </c>
      <c r="BP21" t="s">
        <v>238</v>
      </c>
      <c r="BQ21" t="s">
        <v>239</v>
      </c>
      <c r="BR21" t="s">
        <v>240</v>
      </c>
      <c r="BS21" t="s">
        <v>241</v>
      </c>
      <c r="BT21" t="s">
        <v>77</v>
      </c>
      <c r="BU21" t="s">
        <v>236</v>
      </c>
      <c r="BV21" t="str">
        <f t="shared" si="0"/>
        <v>W40PDA</v>
      </c>
    </row>
    <row r="22" spans="1:74" x14ac:dyDescent="0.25">
      <c r="A22" t="s">
        <v>73</v>
      </c>
      <c r="B22" t="s">
        <v>74</v>
      </c>
      <c r="C22" t="s">
        <v>242</v>
      </c>
      <c r="D22" t="s">
        <v>243</v>
      </c>
      <c r="G22" t="s">
        <v>677</v>
      </c>
      <c r="H22" t="s">
        <v>78</v>
      </c>
      <c r="I22" t="s">
        <v>90</v>
      </c>
      <c r="J22" t="s">
        <v>124</v>
      </c>
      <c r="K22" t="s">
        <v>152</v>
      </c>
      <c r="L22" t="s">
        <v>171</v>
      </c>
      <c r="N22" t="s">
        <v>126</v>
      </c>
      <c r="O22" t="s">
        <v>78</v>
      </c>
      <c r="P22" t="s">
        <v>91</v>
      </c>
      <c r="Q22" t="s">
        <v>78</v>
      </c>
      <c r="R22" t="s">
        <v>84</v>
      </c>
      <c r="S22" t="s">
        <v>78</v>
      </c>
      <c r="T22" t="s">
        <v>84</v>
      </c>
      <c r="U22" t="s">
        <v>78</v>
      </c>
      <c r="V22" t="s">
        <v>91</v>
      </c>
      <c r="W22" t="s">
        <v>84</v>
      </c>
      <c r="X22" t="s">
        <v>84</v>
      </c>
      <c r="Y22" t="s">
        <v>90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H22" t="s">
        <v>78</v>
      </c>
      <c r="AM22" t="s">
        <v>78</v>
      </c>
      <c r="AN22" t="s">
        <v>78</v>
      </c>
      <c r="AQ22" t="s">
        <v>78</v>
      </c>
      <c r="AR22" t="s">
        <v>78</v>
      </c>
      <c r="AV22" t="s">
        <v>172</v>
      </c>
      <c r="AW22" t="s">
        <v>89</v>
      </c>
      <c r="AX22" t="s">
        <v>90</v>
      </c>
      <c r="AY22" t="s">
        <v>78</v>
      </c>
      <c r="AZ22" t="s">
        <v>91</v>
      </c>
      <c r="BA22" t="s">
        <v>92</v>
      </c>
      <c r="BB22" t="s">
        <v>92</v>
      </c>
      <c r="BC22" t="s">
        <v>78</v>
      </c>
      <c r="BE22" t="s">
        <v>78</v>
      </c>
      <c r="BH22" t="s">
        <v>78</v>
      </c>
      <c r="BK22" t="s">
        <v>107</v>
      </c>
      <c r="BL22" t="s">
        <v>78</v>
      </c>
      <c r="BM22" t="s">
        <v>84</v>
      </c>
      <c r="BN22" t="s">
        <v>78</v>
      </c>
      <c r="BO22" t="s">
        <v>95</v>
      </c>
      <c r="BP22" t="s">
        <v>244</v>
      </c>
      <c r="BQ22" t="s">
        <v>245</v>
      </c>
      <c r="BR22" t="s">
        <v>187</v>
      </c>
      <c r="BS22" t="s">
        <v>246</v>
      </c>
      <c r="BT22" t="s">
        <v>112</v>
      </c>
      <c r="BU22" t="s">
        <v>242</v>
      </c>
      <c r="BV22" t="str">
        <f t="shared" si="0"/>
        <v>W40PDA</v>
      </c>
    </row>
    <row r="23" spans="1:74" x14ac:dyDescent="0.25">
      <c r="A23" t="s">
        <v>73</v>
      </c>
      <c r="B23" t="s">
        <v>74</v>
      </c>
      <c r="C23" t="s">
        <v>247</v>
      </c>
      <c r="D23" t="s">
        <v>248</v>
      </c>
      <c r="E23" t="s">
        <v>249</v>
      </c>
      <c r="G23" t="s">
        <v>676</v>
      </c>
      <c r="H23" t="s">
        <v>78</v>
      </c>
      <c r="I23" t="s">
        <v>90</v>
      </c>
      <c r="J23" t="s">
        <v>124</v>
      </c>
      <c r="K23" t="s">
        <v>125</v>
      </c>
      <c r="L23" t="s">
        <v>143</v>
      </c>
      <c r="N23" t="s">
        <v>126</v>
      </c>
      <c r="O23" t="s">
        <v>78</v>
      </c>
      <c r="P23" t="s">
        <v>91</v>
      </c>
      <c r="Q23" t="s">
        <v>78</v>
      </c>
      <c r="R23" t="s">
        <v>84</v>
      </c>
      <c r="S23" t="s">
        <v>78</v>
      </c>
      <c r="T23" t="s">
        <v>84</v>
      </c>
      <c r="U23" t="s">
        <v>78</v>
      </c>
      <c r="V23" t="s">
        <v>91</v>
      </c>
      <c r="W23" t="s">
        <v>84</v>
      </c>
      <c r="X23" t="s">
        <v>84</v>
      </c>
      <c r="Y23" t="s">
        <v>90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H23" t="s">
        <v>78</v>
      </c>
      <c r="AM23" t="s">
        <v>78</v>
      </c>
      <c r="AN23" t="s">
        <v>78</v>
      </c>
      <c r="AQ23" t="s">
        <v>78</v>
      </c>
      <c r="AR23" t="s">
        <v>78</v>
      </c>
      <c r="AV23" t="s">
        <v>144</v>
      </c>
      <c r="AW23" t="s">
        <v>89</v>
      </c>
      <c r="AX23" t="s">
        <v>90</v>
      </c>
      <c r="AY23" t="s">
        <v>78</v>
      </c>
      <c r="AZ23" t="s">
        <v>91</v>
      </c>
      <c r="BA23" t="s">
        <v>92</v>
      </c>
      <c r="BB23" t="s">
        <v>92</v>
      </c>
      <c r="BC23" t="s">
        <v>78</v>
      </c>
      <c r="BE23" t="s">
        <v>78</v>
      </c>
      <c r="BH23" t="s">
        <v>78</v>
      </c>
      <c r="BK23" t="s">
        <v>107</v>
      </c>
      <c r="BL23" t="s">
        <v>78</v>
      </c>
      <c r="BM23" t="s">
        <v>78</v>
      </c>
      <c r="BN23" t="s">
        <v>78</v>
      </c>
      <c r="BO23" t="s">
        <v>127</v>
      </c>
      <c r="BP23" t="s">
        <v>250</v>
      </c>
      <c r="BQ23" t="s">
        <v>251</v>
      </c>
      <c r="BR23" t="s">
        <v>252</v>
      </c>
      <c r="BS23" t="s">
        <v>253</v>
      </c>
      <c r="BT23" t="s">
        <v>170</v>
      </c>
      <c r="BU23" t="s">
        <v>247</v>
      </c>
      <c r="BV23" t="str">
        <f t="shared" si="0"/>
        <v>W45PDA</v>
      </c>
    </row>
    <row r="24" spans="1:74" x14ac:dyDescent="0.25">
      <c r="A24" t="s">
        <v>73</v>
      </c>
      <c r="B24" t="s">
        <v>74</v>
      </c>
      <c r="C24" t="s">
        <v>254</v>
      </c>
      <c r="D24" t="s">
        <v>255</v>
      </c>
      <c r="G24" t="s">
        <v>677</v>
      </c>
      <c r="H24" t="s">
        <v>78</v>
      </c>
      <c r="I24" t="s">
        <v>90</v>
      </c>
      <c r="J24" t="s">
        <v>124</v>
      </c>
      <c r="K24" t="s">
        <v>152</v>
      </c>
      <c r="L24" t="s">
        <v>180</v>
      </c>
      <c r="N24" t="s">
        <v>126</v>
      </c>
      <c r="O24" t="s">
        <v>78</v>
      </c>
      <c r="P24" t="s">
        <v>91</v>
      </c>
      <c r="Q24" t="s">
        <v>78</v>
      </c>
      <c r="R24" t="s">
        <v>84</v>
      </c>
      <c r="S24" t="s">
        <v>78</v>
      </c>
      <c r="T24" t="s">
        <v>84</v>
      </c>
      <c r="U24" t="s">
        <v>78</v>
      </c>
      <c r="V24" t="s">
        <v>91</v>
      </c>
      <c r="W24" t="s">
        <v>84</v>
      </c>
      <c r="X24" t="s">
        <v>84</v>
      </c>
      <c r="Y24" t="s">
        <v>90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H24" t="s">
        <v>78</v>
      </c>
      <c r="AM24" t="s">
        <v>78</v>
      </c>
      <c r="AN24" t="s">
        <v>78</v>
      </c>
      <c r="AQ24" t="s">
        <v>78</v>
      </c>
      <c r="AR24" t="s">
        <v>78</v>
      </c>
      <c r="AV24" t="s">
        <v>172</v>
      </c>
      <c r="AW24" t="s">
        <v>89</v>
      </c>
      <c r="AX24" t="s">
        <v>90</v>
      </c>
      <c r="AY24" t="s">
        <v>78</v>
      </c>
      <c r="AZ24" t="s">
        <v>91</v>
      </c>
      <c r="BA24" t="s">
        <v>92</v>
      </c>
      <c r="BB24" t="s">
        <v>92</v>
      </c>
      <c r="BC24" t="s">
        <v>78</v>
      </c>
      <c r="BE24" t="s">
        <v>78</v>
      </c>
      <c r="BH24" t="s">
        <v>78</v>
      </c>
      <c r="BK24" t="s">
        <v>107</v>
      </c>
      <c r="BL24" t="s">
        <v>78</v>
      </c>
      <c r="BM24" t="s">
        <v>84</v>
      </c>
      <c r="BN24" t="s">
        <v>78</v>
      </c>
      <c r="BO24" t="s">
        <v>95</v>
      </c>
      <c r="BP24" t="s">
        <v>256</v>
      </c>
      <c r="BQ24" t="s">
        <v>257</v>
      </c>
      <c r="BR24" t="s">
        <v>258</v>
      </c>
      <c r="BS24" t="s">
        <v>259</v>
      </c>
      <c r="BT24" t="s">
        <v>170</v>
      </c>
      <c r="BU24" t="s">
        <v>254</v>
      </c>
      <c r="BV24" t="str">
        <f t="shared" si="0"/>
        <v>W40PDA</v>
      </c>
    </row>
    <row r="25" spans="1:74" x14ac:dyDescent="0.25">
      <c r="A25" t="s">
        <v>73</v>
      </c>
      <c r="B25" t="s">
        <v>74</v>
      </c>
      <c r="C25" t="s">
        <v>260</v>
      </c>
      <c r="D25" t="s">
        <v>261</v>
      </c>
      <c r="E25" t="s">
        <v>262</v>
      </c>
      <c r="G25" t="s">
        <v>676</v>
      </c>
      <c r="H25" t="s">
        <v>78</v>
      </c>
      <c r="I25" t="s">
        <v>79</v>
      </c>
      <c r="J25" t="s">
        <v>263</v>
      </c>
      <c r="K25" t="s">
        <v>264</v>
      </c>
      <c r="L25" t="s">
        <v>180</v>
      </c>
      <c r="N25" t="s">
        <v>83</v>
      </c>
      <c r="O25" t="s">
        <v>78</v>
      </c>
      <c r="P25" t="s">
        <v>84</v>
      </c>
      <c r="Q25" t="s">
        <v>78</v>
      </c>
      <c r="R25" t="s">
        <v>84</v>
      </c>
      <c r="S25" t="s">
        <v>78</v>
      </c>
      <c r="T25" t="s">
        <v>84</v>
      </c>
      <c r="U25" t="s">
        <v>78</v>
      </c>
      <c r="V25" t="s">
        <v>265</v>
      </c>
      <c r="W25" t="s">
        <v>266</v>
      </c>
      <c r="X25" t="s">
        <v>266</v>
      </c>
      <c r="Y25" t="s">
        <v>79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74</v>
      </c>
      <c r="AH25" t="s">
        <v>78</v>
      </c>
      <c r="AL25" t="s">
        <v>267</v>
      </c>
      <c r="AM25" t="s">
        <v>78</v>
      </c>
      <c r="AN25" t="s">
        <v>78</v>
      </c>
      <c r="AQ25" t="s">
        <v>78</v>
      </c>
      <c r="AR25" t="s">
        <v>78</v>
      </c>
      <c r="AT25" t="s">
        <v>268</v>
      </c>
      <c r="AV25" t="s">
        <v>88</v>
      </c>
      <c r="AW25" t="s">
        <v>89</v>
      </c>
      <c r="AX25" t="s">
        <v>79</v>
      </c>
      <c r="AY25" t="s">
        <v>84</v>
      </c>
      <c r="AZ25" t="s">
        <v>91</v>
      </c>
      <c r="BA25" t="s">
        <v>91</v>
      </c>
      <c r="BB25" t="s">
        <v>92</v>
      </c>
      <c r="BC25" t="s">
        <v>78</v>
      </c>
      <c r="BE25" t="s">
        <v>78</v>
      </c>
      <c r="BF25" t="s">
        <v>269</v>
      </c>
      <c r="BG25" t="s">
        <v>270</v>
      </c>
      <c r="BH25" t="s">
        <v>78</v>
      </c>
      <c r="BK25" t="s">
        <v>107</v>
      </c>
      <c r="BL25" t="s">
        <v>78</v>
      </c>
      <c r="BM25" t="s">
        <v>84</v>
      </c>
      <c r="BN25" t="s">
        <v>78</v>
      </c>
      <c r="BO25" t="s">
        <v>95</v>
      </c>
      <c r="BP25" t="s">
        <v>271</v>
      </c>
      <c r="BQ25" t="s">
        <v>272</v>
      </c>
      <c r="BR25" t="s">
        <v>273</v>
      </c>
      <c r="BS25" t="s">
        <v>274</v>
      </c>
      <c r="BT25" t="s">
        <v>98</v>
      </c>
      <c r="BU25" t="s">
        <v>260</v>
      </c>
      <c r="BV25" t="str">
        <f t="shared" si="0"/>
        <v>W45PDA</v>
      </c>
    </row>
    <row r="26" spans="1:74" x14ac:dyDescent="0.25">
      <c r="A26" t="s">
        <v>73</v>
      </c>
      <c r="B26" t="s">
        <v>74</v>
      </c>
      <c r="C26" t="s">
        <v>275</v>
      </c>
      <c r="D26" t="s">
        <v>276</v>
      </c>
      <c r="E26" t="s">
        <v>277</v>
      </c>
      <c r="G26" t="s">
        <v>677</v>
      </c>
      <c r="H26" t="s">
        <v>78</v>
      </c>
      <c r="I26" t="s">
        <v>102</v>
      </c>
      <c r="J26" t="s">
        <v>103</v>
      </c>
      <c r="K26" t="s">
        <v>135</v>
      </c>
      <c r="L26" t="s">
        <v>105</v>
      </c>
      <c r="N26" t="s">
        <v>106</v>
      </c>
      <c r="O26" t="s">
        <v>78</v>
      </c>
      <c r="P26" t="s">
        <v>91</v>
      </c>
      <c r="Q26" t="s">
        <v>78</v>
      </c>
      <c r="R26" t="s">
        <v>84</v>
      </c>
      <c r="S26" t="s">
        <v>78</v>
      </c>
      <c r="T26" t="s">
        <v>84</v>
      </c>
      <c r="U26" t="s">
        <v>78</v>
      </c>
      <c r="V26" t="s">
        <v>91</v>
      </c>
      <c r="W26" t="s">
        <v>78</v>
      </c>
      <c r="X26" t="s">
        <v>78</v>
      </c>
      <c r="Y26" t="s">
        <v>102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H26" t="s">
        <v>78</v>
      </c>
      <c r="AM26" t="s">
        <v>78</v>
      </c>
      <c r="AN26" t="s">
        <v>78</v>
      </c>
      <c r="AQ26" t="s">
        <v>78</v>
      </c>
      <c r="AR26" t="s">
        <v>78</v>
      </c>
      <c r="AV26" t="s">
        <v>136</v>
      </c>
      <c r="AW26" t="s">
        <v>89</v>
      </c>
      <c r="AX26" t="s">
        <v>102</v>
      </c>
      <c r="AY26" t="s">
        <v>78</v>
      </c>
      <c r="AZ26" t="s">
        <v>91</v>
      </c>
      <c r="BA26" t="s">
        <v>92</v>
      </c>
      <c r="BB26" t="s">
        <v>92</v>
      </c>
      <c r="BC26" t="s">
        <v>78</v>
      </c>
      <c r="BE26" t="s">
        <v>78</v>
      </c>
      <c r="BH26" t="s">
        <v>78</v>
      </c>
      <c r="BK26" t="s">
        <v>107</v>
      </c>
      <c r="BL26" t="s">
        <v>78</v>
      </c>
      <c r="BM26" t="s">
        <v>78</v>
      </c>
      <c r="BN26" t="s">
        <v>78</v>
      </c>
      <c r="BO26" t="s">
        <v>127</v>
      </c>
      <c r="BP26" t="s">
        <v>278</v>
      </c>
      <c r="BQ26" t="s">
        <v>279</v>
      </c>
      <c r="BR26" t="s">
        <v>278</v>
      </c>
      <c r="BS26" t="s">
        <v>280</v>
      </c>
      <c r="BT26" t="s">
        <v>177</v>
      </c>
      <c r="BU26" t="s">
        <v>275</v>
      </c>
      <c r="BV26" t="str">
        <f t="shared" si="0"/>
        <v>W40PDA</v>
      </c>
    </row>
    <row r="27" spans="1:74" x14ac:dyDescent="0.25">
      <c r="A27" t="s">
        <v>73</v>
      </c>
      <c r="B27" t="s">
        <v>74</v>
      </c>
      <c r="C27" t="s">
        <v>281</v>
      </c>
      <c r="D27" t="s">
        <v>282</v>
      </c>
      <c r="E27" t="s">
        <v>283</v>
      </c>
      <c r="G27" t="s">
        <v>677</v>
      </c>
      <c r="H27" t="s">
        <v>78</v>
      </c>
      <c r="I27" t="s">
        <v>102</v>
      </c>
      <c r="J27" t="s">
        <v>103</v>
      </c>
      <c r="K27" t="s">
        <v>135</v>
      </c>
      <c r="L27" t="s">
        <v>105</v>
      </c>
      <c r="N27" t="s">
        <v>106</v>
      </c>
      <c r="O27" t="s">
        <v>78</v>
      </c>
      <c r="P27" t="s">
        <v>91</v>
      </c>
      <c r="Q27" t="s">
        <v>78</v>
      </c>
      <c r="R27" t="s">
        <v>84</v>
      </c>
      <c r="S27" t="s">
        <v>78</v>
      </c>
      <c r="T27" t="s">
        <v>84</v>
      </c>
      <c r="U27" t="s">
        <v>78</v>
      </c>
      <c r="V27" t="s">
        <v>91</v>
      </c>
      <c r="W27" t="s">
        <v>78</v>
      </c>
      <c r="X27" t="s">
        <v>78</v>
      </c>
      <c r="Y27" t="s">
        <v>102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H27" t="s">
        <v>78</v>
      </c>
      <c r="AM27" t="s">
        <v>78</v>
      </c>
      <c r="AN27" t="s">
        <v>78</v>
      </c>
      <c r="AQ27" t="s">
        <v>78</v>
      </c>
      <c r="AR27" t="s">
        <v>78</v>
      </c>
      <c r="AV27" t="s">
        <v>136</v>
      </c>
      <c r="AW27" t="s">
        <v>89</v>
      </c>
      <c r="AX27" t="s">
        <v>102</v>
      </c>
      <c r="AY27" t="s">
        <v>78</v>
      </c>
      <c r="AZ27" t="s">
        <v>78</v>
      </c>
      <c r="BA27" t="s">
        <v>92</v>
      </c>
      <c r="BB27" t="s">
        <v>92</v>
      </c>
      <c r="BC27" t="s">
        <v>78</v>
      </c>
      <c r="BE27" t="s">
        <v>78</v>
      </c>
      <c r="BH27" t="s">
        <v>78</v>
      </c>
      <c r="BK27" t="s">
        <v>107</v>
      </c>
      <c r="BL27" t="s">
        <v>78</v>
      </c>
      <c r="BM27" t="s">
        <v>78</v>
      </c>
      <c r="BN27" t="s">
        <v>78</v>
      </c>
      <c r="BO27" t="s">
        <v>95</v>
      </c>
      <c r="BP27" t="s">
        <v>278</v>
      </c>
      <c r="BQ27" t="s">
        <v>284</v>
      </c>
      <c r="BR27" t="s">
        <v>110</v>
      </c>
      <c r="BS27" t="s">
        <v>285</v>
      </c>
      <c r="BT27" t="s">
        <v>112</v>
      </c>
      <c r="BU27" t="s">
        <v>281</v>
      </c>
      <c r="BV27" t="str">
        <f t="shared" si="0"/>
        <v>W40PDA</v>
      </c>
    </row>
    <row r="28" spans="1:74" x14ac:dyDescent="0.25">
      <c r="A28" t="s">
        <v>73</v>
      </c>
      <c r="B28" t="s">
        <v>74</v>
      </c>
      <c r="C28" t="s">
        <v>286</v>
      </c>
      <c r="D28" t="s">
        <v>287</v>
      </c>
      <c r="G28" t="s">
        <v>676</v>
      </c>
      <c r="H28" t="s">
        <v>78</v>
      </c>
      <c r="I28" t="s">
        <v>90</v>
      </c>
      <c r="J28" t="s">
        <v>124</v>
      </c>
      <c r="K28" t="s">
        <v>152</v>
      </c>
      <c r="L28" t="s">
        <v>82</v>
      </c>
      <c r="N28" t="s">
        <v>126</v>
      </c>
      <c r="O28" t="s">
        <v>78</v>
      </c>
      <c r="P28" t="s">
        <v>91</v>
      </c>
      <c r="Q28" t="s">
        <v>78</v>
      </c>
      <c r="R28" t="s">
        <v>84</v>
      </c>
      <c r="S28" t="s">
        <v>78</v>
      </c>
      <c r="T28" t="s">
        <v>84</v>
      </c>
      <c r="U28" t="s">
        <v>78</v>
      </c>
      <c r="V28" t="s">
        <v>91</v>
      </c>
      <c r="W28" t="s">
        <v>84</v>
      </c>
      <c r="X28" t="s">
        <v>84</v>
      </c>
      <c r="Y28" t="s">
        <v>90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H28" t="s">
        <v>78</v>
      </c>
      <c r="AM28" t="s">
        <v>78</v>
      </c>
      <c r="AN28" t="s">
        <v>78</v>
      </c>
      <c r="AQ28" t="s">
        <v>78</v>
      </c>
      <c r="AR28" t="s">
        <v>78</v>
      </c>
      <c r="AV28" t="s">
        <v>163</v>
      </c>
      <c r="AW28" t="s">
        <v>89</v>
      </c>
      <c r="AX28" t="s">
        <v>90</v>
      </c>
      <c r="AY28" t="s">
        <v>78</v>
      </c>
      <c r="AZ28" t="s">
        <v>91</v>
      </c>
      <c r="BA28" t="s">
        <v>92</v>
      </c>
      <c r="BB28" t="s">
        <v>92</v>
      </c>
      <c r="BC28" t="s">
        <v>78</v>
      </c>
      <c r="BE28" t="s">
        <v>78</v>
      </c>
      <c r="BH28" t="s">
        <v>78</v>
      </c>
      <c r="BK28" t="s">
        <v>107</v>
      </c>
      <c r="BL28" t="s">
        <v>78</v>
      </c>
      <c r="BM28" t="s">
        <v>78</v>
      </c>
      <c r="BN28" t="s">
        <v>78</v>
      </c>
      <c r="BO28" t="s">
        <v>95</v>
      </c>
      <c r="BP28" t="s">
        <v>288</v>
      </c>
      <c r="BQ28" t="s">
        <v>289</v>
      </c>
      <c r="BR28" t="s">
        <v>290</v>
      </c>
      <c r="BS28" t="s">
        <v>291</v>
      </c>
      <c r="BT28" t="s">
        <v>219</v>
      </c>
      <c r="BU28" t="s">
        <v>286</v>
      </c>
      <c r="BV28" t="str">
        <f t="shared" si="0"/>
        <v>W45PDA</v>
      </c>
    </row>
    <row r="29" spans="1:74" x14ac:dyDescent="0.25">
      <c r="A29" t="s">
        <v>73</v>
      </c>
      <c r="B29" t="s">
        <v>74</v>
      </c>
      <c r="C29" t="s">
        <v>292</v>
      </c>
      <c r="D29" t="s">
        <v>293</v>
      </c>
      <c r="G29" t="s">
        <v>676</v>
      </c>
      <c r="H29" t="s">
        <v>78</v>
      </c>
      <c r="I29" t="s">
        <v>90</v>
      </c>
      <c r="J29" t="s">
        <v>124</v>
      </c>
      <c r="K29" t="s">
        <v>152</v>
      </c>
      <c r="L29" t="s">
        <v>294</v>
      </c>
      <c r="N29" t="s">
        <v>126</v>
      </c>
      <c r="O29" t="s">
        <v>78</v>
      </c>
      <c r="P29" t="s">
        <v>91</v>
      </c>
      <c r="Q29" t="s">
        <v>78</v>
      </c>
      <c r="R29" t="s">
        <v>84</v>
      </c>
      <c r="S29" t="s">
        <v>78</v>
      </c>
      <c r="T29" t="s">
        <v>84</v>
      </c>
      <c r="U29" t="s">
        <v>78</v>
      </c>
      <c r="V29" t="s">
        <v>91</v>
      </c>
      <c r="W29" t="s">
        <v>84</v>
      </c>
      <c r="X29" t="s">
        <v>84</v>
      </c>
      <c r="Y29" t="s">
        <v>90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H29" t="s">
        <v>78</v>
      </c>
      <c r="AM29" t="s">
        <v>78</v>
      </c>
      <c r="AN29" t="s">
        <v>78</v>
      </c>
      <c r="AQ29" t="s">
        <v>78</v>
      </c>
      <c r="AR29" t="s">
        <v>78</v>
      </c>
      <c r="AV29" t="s">
        <v>163</v>
      </c>
      <c r="AW29" t="s">
        <v>89</v>
      </c>
      <c r="AX29" t="s">
        <v>90</v>
      </c>
      <c r="AY29" t="s">
        <v>78</v>
      </c>
      <c r="AZ29" t="s">
        <v>91</v>
      </c>
      <c r="BA29" t="s">
        <v>92</v>
      </c>
      <c r="BB29" t="s">
        <v>92</v>
      </c>
      <c r="BC29" t="s">
        <v>78</v>
      </c>
      <c r="BE29" t="s">
        <v>78</v>
      </c>
      <c r="BH29" t="s">
        <v>78</v>
      </c>
      <c r="BK29" t="s">
        <v>107</v>
      </c>
      <c r="BL29" t="s">
        <v>78</v>
      </c>
      <c r="BM29" t="s">
        <v>78</v>
      </c>
      <c r="BN29" t="s">
        <v>78</v>
      </c>
      <c r="BO29" t="s">
        <v>95</v>
      </c>
      <c r="BP29" t="s">
        <v>295</v>
      </c>
      <c r="BQ29" t="s">
        <v>296</v>
      </c>
      <c r="BR29" t="s">
        <v>290</v>
      </c>
      <c r="BS29" t="s">
        <v>297</v>
      </c>
      <c r="BT29" t="s">
        <v>219</v>
      </c>
      <c r="BU29" t="s">
        <v>292</v>
      </c>
      <c r="BV29" t="str">
        <f t="shared" si="0"/>
        <v>W45PDA</v>
      </c>
    </row>
    <row r="30" spans="1:74" x14ac:dyDescent="0.25">
      <c r="A30" t="s">
        <v>73</v>
      </c>
      <c r="B30" t="s">
        <v>74</v>
      </c>
      <c r="C30" t="s">
        <v>298</v>
      </c>
      <c r="D30" t="s">
        <v>299</v>
      </c>
      <c r="G30" t="s">
        <v>676</v>
      </c>
      <c r="H30" t="s">
        <v>78</v>
      </c>
      <c r="I30" t="s">
        <v>102</v>
      </c>
      <c r="J30" t="s">
        <v>103</v>
      </c>
      <c r="K30" t="s">
        <v>135</v>
      </c>
      <c r="L30" t="s">
        <v>105</v>
      </c>
      <c r="N30" t="s">
        <v>106</v>
      </c>
      <c r="O30" t="s">
        <v>78</v>
      </c>
      <c r="P30" t="s">
        <v>91</v>
      </c>
      <c r="Q30" t="s">
        <v>78</v>
      </c>
      <c r="R30" t="s">
        <v>84</v>
      </c>
      <c r="S30" t="s">
        <v>78</v>
      </c>
      <c r="T30" t="s">
        <v>84</v>
      </c>
      <c r="U30" t="s">
        <v>78</v>
      </c>
      <c r="V30" t="s">
        <v>91</v>
      </c>
      <c r="W30" t="s">
        <v>78</v>
      </c>
      <c r="X30" t="s">
        <v>78</v>
      </c>
      <c r="Y30" t="s">
        <v>102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H30" t="s">
        <v>78</v>
      </c>
      <c r="AM30" t="s">
        <v>78</v>
      </c>
      <c r="AN30" t="s">
        <v>78</v>
      </c>
      <c r="AQ30" t="s">
        <v>78</v>
      </c>
      <c r="AR30" t="s">
        <v>78</v>
      </c>
      <c r="AV30" t="s">
        <v>136</v>
      </c>
      <c r="AW30" t="s">
        <v>89</v>
      </c>
      <c r="AX30" t="s">
        <v>102</v>
      </c>
      <c r="AY30" t="s">
        <v>78</v>
      </c>
      <c r="AZ30" t="s">
        <v>78</v>
      </c>
      <c r="BA30" t="s">
        <v>92</v>
      </c>
      <c r="BB30" t="s">
        <v>92</v>
      </c>
      <c r="BC30" t="s">
        <v>78</v>
      </c>
      <c r="BE30" t="s">
        <v>78</v>
      </c>
      <c r="BH30" t="s">
        <v>78</v>
      </c>
      <c r="BK30" t="s">
        <v>107</v>
      </c>
      <c r="BL30" t="s">
        <v>78</v>
      </c>
      <c r="BM30" t="s">
        <v>78</v>
      </c>
      <c r="BN30" t="s">
        <v>78</v>
      </c>
      <c r="BO30" t="s">
        <v>95</v>
      </c>
      <c r="BP30" t="s">
        <v>300</v>
      </c>
      <c r="BQ30" t="s">
        <v>301</v>
      </c>
      <c r="BR30" t="s">
        <v>300</v>
      </c>
      <c r="BS30" t="s">
        <v>302</v>
      </c>
      <c r="BT30" t="s">
        <v>177</v>
      </c>
      <c r="BU30" t="s">
        <v>298</v>
      </c>
      <c r="BV30" t="str">
        <f t="shared" si="0"/>
        <v>W45PDA</v>
      </c>
    </row>
    <row r="31" spans="1:74" x14ac:dyDescent="0.25">
      <c r="A31" t="s">
        <v>73</v>
      </c>
      <c r="B31" t="s">
        <v>74</v>
      </c>
      <c r="C31" t="s">
        <v>303</v>
      </c>
      <c r="D31" t="s">
        <v>304</v>
      </c>
      <c r="E31" t="s">
        <v>305</v>
      </c>
      <c r="G31" t="s">
        <v>677</v>
      </c>
      <c r="H31" t="s">
        <v>78</v>
      </c>
      <c r="I31" t="s">
        <v>90</v>
      </c>
      <c r="J31" t="s">
        <v>124</v>
      </c>
      <c r="K31" t="s">
        <v>125</v>
      </c>
      <c r="L31" t="s">
        <v>143</v>
      </c>
      <c r="N31" t="s">
        <v>126</v>
      </c>
      <c r="O31" t="s">
        <v>78</v>
      </c>
      <c r="P31" t="s">
        <v>91</v>
      </c>
      <c r="Q31" t="s">
        <v>78</v>
      </c>
      <c r="R31" t="s">
        <v>84</v>
      </c>
      <c r="S31" t="s">
        <v>78</v>
      </c>
      <c r="T31" t="s">
        <v>84</v>
      </c>
      <c r="U31" t="s">
        <v>78</v>
      </c>
      <c r="V31" t="s">
        <v>91</v>
      </c>
      <c r="W31" t="s">
        <v>84</v>
      </c>
      <c r="X31" t="s">
        <v>84</v>
      </c>
      <c r="Y31" t="s">
        <v>90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H31" t="s">
        <v>78</v>
      </c>
      <c r="AM31" t="s">
        <v>78</v>
      </c>
      <c r="AN31" t="s">
        <v>78</v>
      </c>
      <c r="AQ31" t="s">
        <v>78</v>
      </c>
      <c r="AR31" t="s">
        <v>78</v>
      </c>
      <c r="AV31" t="s">
        <v>144</v>
      </c>
      <c r="AW31" t="s">
        <v>89</v>
      </c>
      <c r="AX31" t="s">
        <v>90</v>
      </c>
      <c r="AY31" t="s">
        <v>78</v>
      </c>
      <c r="AZ31" t="s">
        <v>91</v>
      </c>
      <c r="BA31" t="s">
        <v>92</v>
      </c>
      <c r="BB31" t="s">
        <v>92</v>
      </c>
      <c r="BC31" t="s">
        <v>78</v>
      </c>
      <c r="BE31" t="s">
        <v>78</v>
      </c>
      <c r="BH31" t="s">
        <v>78</v>
      </c>
      <c r="BK31" t="s">
        <v>107</v>
      </c>
      <c r="BL31" t="s">
        <v>78</v>
      </c>
      <c r="BM31" t="s">
        <v>84</v>
      </c>
      <c r="BN31" t="s">
        <v>78</v>
      </c>
      <c r="BO31" t="s">
        <v>127</v>
      </c>
      <c r="BP31" t="s">
        <v>306</v>
      </c>
      <c r="BQ31" t="s">
        <v>307</v>
      </c>
      <c r="BR31" t="s">
        <v>138</v>
      </c>
      <c r="BS31" t="s">
        <v>200</v>
      </c>
      <c r="BT31" t="s">
        <v>112</v>
      </c>
      <c r="BU31" t="s">
        <v>303</v>
      </c>
      <c r="BV31" t="str">
        <f t="shared" si="0"/>
        <v>W40PDA</v>
      </c>
    </row>
    <row r="32" spans="1:74" x14ac:dyDescent="0.25">
      <c r="A32" t="s">
        <v>73</v>
      </c>
      <c r="B32" t="s">
        <v>74</v>
      </c>
      <c r="C32" t="s">
        <v>308</v>
      </c>
      <c r="D32" t="s">
        <v>309</v>
      </c>
      <c r="G32" t="s">
        <v>676</v>
      </c>
      <c r="H32" t="s">
        <v>78</v>
      </c>
      <c r="I32" t="s">
        <v>90</v>
      </c>
      <c r="J32" t="s">
        <v>124</v>
      </c>
      <c r="K32" t="s">
        <v>152</v>
      </c>
      <c r="L32" t="s">
        <v>82</v>
      </c>
      <c r="N32" t="s">
        <v>126</v>
      </c>
      <c r="O32" t="s">
        <v>78</v>
      </c>
      <c r="P32" t="s">
        <v>91</v>
      </c>
      <c r="Q32" t="s">
        <v>78</v>
      </c>
      <c r="R32" t="s">
        <v>84</v>
      </c>
      <c r="S32" t="s">
        <v>78</v>
      </c>
      <c r="T32" t="s">
        <v>84</v>
      </c>
      <c r="U32" t="s">
        <v>78</v>
      </c>
      <c r="V32" t="s">
        <v>91</v>
      </c>
      <c r="W32" t="s">
        <v>84</v>
      </c>
      <c r="X32" t="s">
        <v>84</v>
      </c>
      <c r="Y32" t="s">
        <v>90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H32" t="s">
        <v>78</v>
      </c>
      <c r="AM32" t="s">
        <v>78</v>
      </c>
      <c r="AN32" t="s">
        <v>78</v>
      </c>
      <c r="AQ32" t="s">
        <v>78</v>
      </c>
      <c r="AR32" t="s">
        <v>78</v>
      </c>
      <c r="AV32" t="s">
        <v>163</v>
      </c>
      <c r="AW32" t="s">
        <v>89</v>
      </c>
      <c r="AX32" t="s">
        <v>90</v>
      </c>
      <c r="AY32" t="s">
        <v>78</v>
      </c>
      <c r="AZ32" t="s">
        <v>91</v>
      </c>
      <c r="BA32" t="s">
        <v>92</v>
      </c>
      <c r="BB32" t="s">
        <v>92</v>
      </c>
      <c r="BC32" t="s">
        <v>78</v>
      </c>
      <c r="BE32" t="s">
        <v>78</v>
      </c>
      <c r="BH32" t="s">
        <v>78</v>
      </c>
      <c r="BK32" t="s">
        <v>107</v>
      </c>
      <c r="BL32" t="s">
        <v>78</v>
      </c>
      <c r="BM32" t="s">
        <v>78</v>
      </c>
      <c r="BN32" t="s">
        <v>78</v>
      </c>
      <c r="BO32" t="s">
        <v>95</v>
      </c>
      <c r="BP32" t="s">
        <v>310</v>
      </c>
      <c r="BQ32" t="s">
        <v>311</v>
      </c>
      <c r="BR32" t="s">
        <v>166</v>
      </c>
      <c r="BS32" t="s">
        <v>97</v>
      </c>
      <c r="BT32" t="s">
        <v>112</v>
      </c>
      <c r="BU32" t="s">
        <v>308</v>
      </c>
      <c r="BV32" t="str">
        <f t="shared" si="0"/>
        <v>W45PDA</v>
      </c>
    </row>
    <row r="33" spans="1:74" x14ac:dyDescent="0.25">
      <c r="A33" t="s">
        <v>73</v>
      </c>
      <c r="B33" t="s">
        <v>74</v>
      </c>
      <c r="C33" t="s">
        <v>312</v>
      </c>
      <c r="D33" t="s">
        <v>313</v>
      </c>
      <c r="E33" t="s">
        <v>313</v>
      </c>
      <c r="G33" t="s">
        <v>677</v>
      </c>
      <c r="H33" t="s">
        <v>78</v>
      </c>
      <c r="I33" t="s">
        <v>90</v>
      </c>
      <c r="J33" t="s">
        <v>124</v>
      </c>
      <c r="K33" t="s">
        <v>125</v>
      </c>
      <c r="L33" t="s">
        <v>73</v>
      </c>
      <c r="N33" t="s">
        <v>126</v>
      </c>
      <c r="O33" t="s">
        <v>78</v>
      </c>
      <c r="P33" t="s">
        <v>91</v>
      </c>
      <c r="Q33" t="s">
        <v>78</v>
      </c>
      <c r="R33" t="s">
        <v>84</v>
      </c>
      <c r="S33" t="s">
        <v>78</v>
      </c>
      <c r="T33" t="s">
        <v>84</v>
      </c>
      <c r="U33" t="s">
        <v>78</v>
      </c>
      <c r="V33" t="s">
        <v>91</v>
      </c>
      <c r="W33" t="s">
        <v>78</v>
      </c>
      <c r="X33" t="s">
        <v>78</v>
      </c>
      <c r="Y33" t="s">
        <v>90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H33" t="s">
        <v>78</v>
      </c>
      <c r="AI33" t="s">
        <v>314</v>
      </c>
      <c r="AK33" t="s">
        <v>314</v>
      </c>
      <c r="AM33" t="s">
        <v>78</v>
      </c>
      <c r="AN33" t="s">
        <v>78</v>
      </c>
      <c r="AQ33" t="s">
        <v>78</v>
      </c>
      <c r="AR33" t="s">
        <v>78</v>
      </c>
      <c r="AW33" t="s">
        <v>89</v>
      </c>
      <c r="AX33" t="s">
        <v>90</v>
      </c>
      <c r="AY33" t="s">
        <v>78</v>
      </c>
      <c r="AZ33" t="s">
        <v>91</v>
      </c>
      <c r="BA33" t="s">
        <v>92</v>
      </c>
      <c r="BB33" t="s">
        <v>92</v>
      </c>
      <c r="BC33" t="s">
        <v>78</v>
      </c>
      <c r="BE33" t="s">
        <v>78</v>
      </c>
      <c r="BH33" t="s">
        <v>78</v>
      </c>
      <c r="BK33" t="s">
        <v>107</v>
      </c>
      <c r="BL33" t="s">
        <v>78</v>
      </c>
      <c r="BM33" t="s">
        <v>78</v>
      </c>
      <c r="BN33" t="s">
        <v>78</v>
      </c>
      <c r="BO33" t="s">
        <v>127</v>
      </c>
      <c r="BP33" t="s">
        <v>315</v>
      </c>
      <c r="BQ33" t="s">
        <v>316</v>
      </c>
      <c r="BR33" t="s">
        <v>110</v>
      </c>
      <c r="BS33" t="s">
        <v>317</v>
      </c>
      <c r="BT33" t="s">
        <v>112</v>
      </c>
      <c r="BU33" t="s">
        <v>312</v>
      </c>
      <c r="BV33" t="str">
        <f t="shared" si="0"/>
        <v>W40PDA</v>
      </c>
    </row>
    <row r="34" spans="1:74" x14ac:dyDescent="0.25">
      <c r="A34" t="s">
        <v>73</v>
      </c>
      <c r="B34" t="s">
        <v>74</v>
      </c>
      <c r="C34" t="s">
        <v>318</v>
      </c>
      <c r="D34" t="s">
        <v>319</v>
      </c>
      <c r="E34" t="s">
        <v>320</v>
      </c>
      <c r="G34" t="s">
        <v>677</v>
      </c>
      <c r="H34" t="s">
        <v>78</v>
      </c>
      <c r="I34" t="s">
        <v>90</v>
      </c>
      <c r="J34" t="s">
        <v>124</v>
      </c>
      <c r="K34" t="s">
        <v>152</v>
      </c>
      <c r="L34" t="s">
        <v>180</v>
      </c>
      <c r="N34" t="s">
        <v>126</v>
      </c>
      <c r="O34" t="s">
        <v>78</v>
      </c>
      <c r="P34" t="s">
        <v>91</v>
      </c>
      <c r="Q34" t="s">
        <v>78</v>
      </c>
      <c r="R34" t="s">
        <v>84</v>
      </c>
      <c r="S34" t="s">
        <v>78</v>
      </c>
      <c r="T34" t="s">
        <v>84</v>
      </c>
      <c r="U34" t="s">
        <v>78</v>
      </c>
      <c r="V34" t="s">
        <v>91</v>
      </c>
      <c r="W34" t="s">
        <v>84</v>
      </c>
      <c r="X34" t="s">
        <v>84</v>
      </c>
      <c r="Y34" t="s">
        <v>90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H34" t="s">
        <v>78</v>
      </c>
      <c r="AM34" t="s">
        <v>78</v>
      </c>
      <c r="AN34" t="s">
        <v>78</v>
      </c>
      <c r="AQ34" t="s">
        <v>78</v>
      </c>
      <c r="AR34" t="s">
        <v>78</v>
      </c>
      <c r="AV34" t="s">
        <v>172</v>
      </c>
      <c r="AW34" t="s">
        <v>89</v>
      </c>
      <c r="AX34" t="s">
        <v>90</v>
      </c>
      <c r="AY34" t="s">
        <v>78</v>
      </c>
      <c r="AZ34" t="s">
        <v>91</v>
      </c>
      <c r="BA34" t="s">
        <v>92</v>
      </c>
      <c r="BB34" t="s">
        <v>92</v>
      </c>
      <c r="BC34" t="s">
        <v>78</v>
      </c>
      <c r="BE34" t="s">
        <v>78</v>
      </c>
      <c r="BH34" t="s">
        <v>78</v>
      </c>
      <c r="BK34" t="s">
        <v>107</v>
      </c>
      <c r="BL34" t="s">
        <v>78</v>
      </c>
      <c r="BM34" t="s">
        <v>84</v>
      </c>
      <c r="BN34" t="s">
        <v>78</v>
      </c>
      <c r="BO34" t="s">
        <v>95</v>
      </c>
      <c r="BP34" t="s">
        <v>321</v>
      </c>
      <c r="BQ34" t="s">
        <v>322</v>
      </c>
      <c r="BR34" t="s">
        <v>187</v>
      </c>
      <c r="BS34" t="s">
        <v>323</v>
      </c>
      <c r="BT34" t="s">
        <v>112</v>
      </c>
      <c r="BU34" t="s">
        <v>318</v>
      </c>
      <c r="BV34" t="str">
        <f t="shared" si="0"/>
        <v>W40PDA</v>
      </c>
    </row>
    <row r="35" spans="1:74" x14ac:dyDescent="0.25">
      <c r="A35" t="s">
        <v>73</v>
      </c>
      <c r="B35" t="s">
        <v>74</v>
      </c>
      <c r="C35" t="s">
        <v>324</v>
      </c>
      <c r="D35" t="s">
        <v>325</v>
      </c>
      <c r="G35" t="s">
        <v>676</v>
      </c>
      <c r="H35" t="s">
        <v>78</v>
      </c>
      <c r="I35" t="s">
        <v>90</v>
      </c>
      <c r="J35" t="s">
        <v>124</v>
      </c>
      <c r="K35" t="s">
        <v>152</v>
      </c>
      <c r="L35" t="s">
        <v>82</v>
      </c>
      <c r="N35" t="s">
        <v>126</v>
      </c>
      <c r="O35" t="s">
        <v>78</v>
      </c>
      <c r="P35" t="s">
        <v>91</v>
      </c>
      <c r="Q35" t="s">
        <v>78</v>
      </c>
      <c r="R35" t="s">
        <v>84</v>
      </c>
      <c r="S35" t="s">
        <v>78</v>
      </c>
      <c r="T35" t="s">
        <v>84</v>
      </c>
      <c r="U35" t="s">
        <v>78</v>
      </c>
      <c r="V35" t="s">
        <v>91</v>
      </c>
      <c r="W35" t="s">
        <v>84</v>
      </c>
      <c r="X35" t="s">
        <v>84</v>
      </c>
      <c r="Y35" t="s">
        <v>90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H35" t="s">
        <v>78</v>
      </c>
      <c r="AM35" t="s">
        <v>78</v>
      </c>
      <c r="AN35" t="s">
        <v>78</v>
      </c>
      <c r="AQ35" t="s">
        <v>78</v>
      </c>
      <c r="AR35" t="s">
        <v>78</v>
      </c>
      <c r="AV35" t="s">
        <v>163</v>
      </c>
      <c r="AW35" t="s">
        <v>89</v>
      </c>
      <c r="AX35" t="s">
        <v>90</v>
      </c>
      <c r="AY35" t="s">
        <v>78</v>
      </c>
      <c r="AZ35" t="s">
        <v>91</v>
      </c>
      <c r="BA35" t="s">
        <v>92</v>
      </c>
      <c r="BB35" t="s">
        <v>92</v>
      </c>
      <c r="BC35" t="s">
        <v>78</v>
      </c>
      <c r="BE35" t="s">
        <v>78</v>
      </c>
      <c r="BH35" t="s">
        <v>78</v>
      </c>
      <c r="BK35" t="s">
        <v>107</v>
      </c>
      <c r="BL35" t="s">
        <v>78</v>
      </c>
      <c r="BM35" t="s">
        <v>78</v>
      </c>
      <c r="BN35" t="s">
        <v>78</v>
      </c>
      <c r="BO35" t="s">
        <v>95</v>
      </c>
      <c r="BP35" t="s">
        <v>290</v>
      </c>
      <c r="BQ35" t="s">
        <v>326</v>
      </c>
      <c r="BR35" t="s">
        <v>290</v>
      </c>
      <c r="BS35" t="s">
        <v>327</v>
      </c>
      <c r="BT35" t="s">
        <v>219</v>
      </c>
      <c r="BU35" t="s">
        <v>324</v>
      </c>
      <c r="BV35" t="str">
        <f t="shared" si="0"/>
        <v>W45PDA</v>
      </c>
    </row>
    <row r="36" spans="1:74" x14ac:dyDescent="0.25">
      <c r="A36" t="s">
        <v>73</v>
      </c>
      <c r="B36" t="s">
        <v>74</v>
      </c>
      <c r="C36" t="s">
        <v>328</v>
      </c>
      <c r="D36" t="s">
        <v>329</v>
      </c>
      <c r="E36" t="s">
        <v>330</v>
      </c>
      <c r="G36" t="s">
        <v>677</v>
      </c>
      <c r="H36" t="s">
        <v>91</v>
      </c>
      <c r="I36" t="s">
        <v>90</v>
      </c>
      <c r="J36" t="s">
        <v>103</v>
      </c>
      <c r="K36" t="s">
        <v>135</v>
      </c>
      <c r="L36" t="s">
        <v>143</v>
      </c>
      <c r="N36" t="s">
        <v>106</v>
      </c>
      <c r="O36" t="s">
        <v>78</v>
      </c>
      <c r="P36" t="s">
        <v>91</v>
      </c>
      <c r="Q36" t="s">
        <v>78</v>
      </c>
      <c r="R36" t="s">
        <v>84</v>
      </c>
      <c r="S36" t="s">
        <v>78</v>
      </c>
      <c r="T36" t="s">
        <v>84</v>
      </c>
      <c r="U36" t="s">
        <v>78</v>
      </c>
      <c r="V36" t="s">
        <v>91</v>
      </c>
      <c r="W36" t="s">
        <v>78</v>
      </c>
      <c r="X36" t="s">
        <v>78</v>
      </c>
      <c r="Y36" t="s">
        <v>90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H36" t="s">
        <v>78</v>
      </c>
      <c r="AM36" t="s">
        <v>78</v>
      </c>
      <c r="AN36" t="s">
        <v>78</v>
      </c>
      <c r="AQ36" t="s">
        <v>78</v>
      </c>
      <c r="AR36" t="s">
        <v>78</v>
      </c>
      <c r="AV36" t="s">
        <v>136</v>
      </c>
      <c r="AW36" t="s">
        <v>89</v>
      </c>
      <c r="AX36" t="s">
        <v>90</v>
      </c>
      <c r="AY36" t="s">
        <v>78</v>
      </c>
      <c r="AZ36" t="s">
        <v>91</v>
      </c>
      <c r="BA36" t="s">
        <v>92</v>
      </c>
      <c r="BB36" t="s">
        <v>92</v>
      </c>
      <c r="BC36" t="s">
        <v>78</v>
      </c>
      <c r="BE36" t="s">
        <v>78</v>
      </c>
      <c r="BH36" t="s">
        <v>78</v>
      </c>
      <c r="BK36" t="s">
        <v>107</v>
      </c>
      <c r="BL36" t="s">
        <v>78</v>
      </c>
      <c r="BM36" t="s">
        <v>78</v>
      </c>
      <c r="BN36" t="s">
        <v>78</v>
      </c>
      <c r="BO36" t="s">
        <v>127</v>
      </c>
      <c r="BP36" t="s">
        <v>331</v>
      </c>
      <c r="BQ36" t="s">
        <v>332</v>
      </c>
      <c r="BR36" t="s">
        <v>333</v>
      </c>
      <c r="BS36" t="s">
        <v>334</v>
      </c>
      <c r="BT36" t="s">
        <v>335</v>
      </c>
      <c r="BU36" t="s">
        <v>328</v>
      </c>
      <c r="BV36" t="str">
        <f t="shared" si="0"/>
        <v>W40PDA</v>
      </c>
    </row>
    <row r="37" spans="1:74" x14ac:dyDescent="0.25">
      <c r="A37" t="s">
        <v>73</v>
      </c>
      <c r="B37" t="s">
        <v>74</v>
      </c>
      <c r="C37" t="s">
        <v>336</v>
      </c>
      <c r="D37" t="s">
        <v>337</v>
      </c>
      <c r="E37" t="s">
        <v>338</v>
      </c>
      <c r="G37" t="s">
        <v>677</v>
      </c>
      <c r="H37" t="s">
        <v>78</v>
      </c>
      <c r="I37" t="s">
        <v>102</v>
      </c>
      <c r="J37" t="s">
        <v>103</v>
      </c>
      <c r="K37" t="s">
        <v>104</v>
      </c>
      <c r="L37" t="s">
        <v>105</v>
      </c>
      <c r="N37" t="s">
        <v>106</v>
      </c>
      <c r="O37" t="s">
        <v>78</v>
      </c>
      <c r="P37" t="s">
        <v>91</v>
      </c>
      <c r="Q37" t="s">
        <v>78</v>
      </c>
      <c r="R37" t="s">
        <v>84</v>
      </c>
      <c r="S37" t="s">
        <v>78</v>
      </c>
      <c r="T37" t="s">
        <v>84</v>
      </c>
      <c r="U37" t="s">
        <v>78</v>
      </c>
      <c r="V37" t="s">
        <v>91</v>
      </c>
      <c r="W37" t="s">
        <v>78</v>
      </c>
      <c r="X37" t="s">
        <v>78</v>
      </c>
      <c r="Y37" t="s">
        <v>102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H37" t="s">
        <v>78</v>
      </c>
      <c r="AM37" t="s">
        <v>78</v>
      </c>
      <c r="AN37" t="s">
        <v>78</v>
      </c>
      <c r="AQ37" t="s">
        <v>78</v>
      </c>
      <c r="AR37" t="s">
        <v>78</v>
      </c>
      <c r="AW37" t="s">
        <v>78</v>
      </c>
      <c r="AX37" t="s">
        <v>102</v>
      </c>
      <c r="AY37" t="s">
        <v>78</v>
      </c>
      <c r="AZ37" t="s">
        <v>78</v>
      </c>
      <c r="BA37" t="s">
        <v>92</v>
      </c>
      <c r="BB37" t="s">
        <v>92</v>
      </c>
      <c r="BC37" t="s">
        <v>78</v>
      </c>
      <c r="BE37" t="s">
        <v>78</v>
      </c>
      <c r="BH37" t="s">
        <v>78</v>
      </c>
      <c r="BK37" t="s">
        <v>107</v>
      </c>
      <c r="BL37" t="s">
        <v>78</v>
      </c>
      <c r="BM37" t="s">
        <v>78</v>
      </c>
      <c r="BN37" t="s">
        <v>78</v>
      </c>
      <c r="BO37" t="s">
        <v>95</v>
      </c>
      <c r="BP37" t="s">
        <v>339</v>
      </c>
      <c r="BQ37" t="s">
        <v>340</v>
      </c>
      <c r="BR37" t="s">
        <v>339</v>
      </c>
      <c r="BS37" t="s">
        <v>341</v>
      </c>
      <c r="BT37" t="s">
        <v>170</v>
      </c>
      <c r="BU37" t="s">
        <v>336</v>
      </c>
      <c r="BV37" t="str">
        <f t="shared" si="0"/>
        <v>W40PDA</v>
      </c>
    </row>
    <row r="38" spans="1:74" x14ac:dyDescent="0.25">
      <c r="A38" t="s">
        <v>73</v>
      </c>
      <c r="B38" t="s">
        <v>74</v>
      </c>
      <c r="C38" t="s">
        <v>342</v>
      </c>
      <c r="D38" t="s">
        <v>343</v>
      </c>
      <c r="E38" t="s">
        <v>344</v>
      </c>
      <c r="G38" t="s">
        <v>677</v>
      </c>
      <c r="H38" t="s">
        <v>78</v>
      </c>
      <c r="I38" t="s">
        <v>90</v>
      </c>
      <c r="J38" t="s">
        <v>124</v>
      </c>
      <c r="K38" t="s">
        <v>152</v>
      </c>
      <c r="L38" t="s">
        <v>82</v>
      </c>
      <c r="N38" t="s">
        <v>126</v>
      </c>
      <c r="O38" t="s">
        <v>78</v>
      </c>
      <c r="P38" t="s">
        <v>91</v>
      </c>
      <c r="Q38" t="s">
        <v>78</v>
      </c>
      <c r="R38" t="s">
        <v>84</v>
      </c>
      <c r="S38" t="s">
        <v>78</v>
      </c>
      <c r="T38" t="s">
        <v>84</v>
      </c>
      <c r="U38" t="s">
        <v>78</v>
      </c>
      <c r="V38" t="s">
        <v>91</v>
      </c>
      <c r="W38" t="s">
        <v>84</v>
      </c>
      <c r="X38" t="s">
        <v>84</v>
      </c>
      <c r="Y38" t="s">
        <v>90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H38" t="s">
        <v>78</v>
      </c>
      <c r="AM38" t="s">
        <v>78</v>
      </c>
      <c r="AN38" t="s">
        <v>78</v>
      </c>
      <c r="AQ38" t="s">
        <v>78</v>
      </c>
      <c r="AR38" t="s">
        <v>78</v>
      </c>
      <c r="AV38" t="s">
        <v>144</v>
      </c>
      <c r="AW38" t="s">
        <v>89</v>
      </c>
      <c r="AX38" t="s">
        <v>90</v>
      </c>
      <c r="AY38" t="s">
        <v>78</v>
      </c>
      <c r="AZ38" t="s">
        <v>91</v>
      </c>
      <c r="BA38" t="s">
        <v>92</v>
      </c>
      <c r="BB38" t="s">
        <v>92</v>
      </c>
      <c r="BC38" t="s">
        <v>78</v>
      </c>
      <c r="BE38" t="s">
        <v>78</v>
      </c>
      <c r="BH38" t="s">
        <v>78</v>
      </c>
      <c r="BK38" t="s">
        <v>107</v>
      </c>
      <c r="BL38" t="s">
        <v>78</v>
      </c>
      <c r="BM38" t="s">
        <v>84</v>
      </c>
      <c r="BN38" t="s">
        <v>78</v>
      </c>
      <c r="BO38" t="s">
        <v>95</v>
      </c>
      <c r="BP38" t="s">
        <v>345</v>
      </c>
      <c r="BQ38" t="s">
        <v>346</v>
      </c>
      <c r="BR38" t="s">
        <v>347</v>
      </c>
      <c r="BS38" t="s">
        <v>246</v>
      </c>
      <c r="BT38" t="s">
        <v>112</v>
      </c>
      <c r="BU38" t="s">
        <v>342</v>
      </c>
      <c r="BV38" t="str">
        <f t="shared" si="0"/>
        <v>W40PDA</v>
      </c>
    </row>
    <row r="39" spans="1:74" x14ac:dyDescent="0.25">
      <c r="A39" t="s">
        <v>73</v>
      </c>
      <c r="B39" t="s">
        <v>74</v>
      </c>
      <c r="C39" t="s">
        <v>348</v>
      </c>
      <c r="D39" t="s">
        <v>349</v>
      </c>
      <c r="G39" t="s">
        <v>676</v>
      </c>
      <c r="H39" t="s">
        <v>78</v>
      </c>
      <c r="I39" t="s">
        <v>102</v>
      </c>
      <c r="J39" t="s">
        <v>103</v>
      </c>
      <c r="K39" t="s">
        <v>104</v>
      </c>
      <c r="L39" t="s">
        <v>105</v>
      </c>
      <c r="N39" t="s">
        <v>106</v>
      </c>
      <c r="O39" t="s">
        <v>78</v>
      </c>
      <c r="P39" t="s">
        <v>91</v>
      </c>
      <c r="Q39" t="s">
        <v>78</v>
      </c>
      <c r="R39" t="s">
        <v>84</v>
      </c>
      <c r="S39" t="s">
        <v>78</v>
      </c>
      <c r="T39" t="s">
        <v>84</v>
      </c>
      <c r="U39" t="s">
        <v>78</v>
      </c>
      <c r="V39" t="s">
        <v>91</v>
      </c>
      <c r="W39" t="s">
        <v>78</v>
      </c>
      <c r="X39" t="s">
        <v>78</v>
      </c>
      <c r="Y39" t="s">
        <v>102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H39" t="s">
        <v>78</v>
      </c>
      <c r="AM39" t="s">
        <v>78</v>
      </c>
      <c r="AN39" t="s">
        <v>78</v>
      </c>
      <c r="AQ39" t="s">
        <v>78</v>
      </c>
      <c r="AR39" t="s">
        <v>78</v>
      </c>
      <c r="AW39" t="s">
        <v>78</v>
      </c>
      <c r="AX39" t="s">
        <v>102</v>
      </c>
      <c r="AY39" t="s">
        <v>78</v>
      </c>
      <c r="AZ39" t="s">
        <v>78</v>
      </c>
      <c r="BA39" t="s">
        <v>92</v>
      </c>
      <c r="BB39" t="s">
        <v>92</v>
      </c>
      <c r="BC39" t="s">
        <v>78</v>
      </c>
      <c r="BE39" t="s">
        <v>78</v>
      </c>
      <c r="BH39" t="s">
        <v>78</v>
      </c>
      <c r="BK39" t="s">
        <v>107</v>
      </c>
      <c r="BL39" t="s">
        <v>78</v>
      </c>
      <c r="BM39" t="s">
        <v>78</v>
      </c>
      <c r="BN39" t="s">
        <v>78</v>
      </c>
      <c r="BO39" t="s">
        <v>95</v>
      </c>
      <c r="BP39" t="s">
        <v>350</v>
      </c>
      <c r="BQ39" t="s">
        <v>351</v>
      </c>
      <c r="BR39" t="s">
        <v>352</v>
      </c>
      <c r="BS39" t="s">
        <v>353</v>
      </c>
      <c r="BT39" t="s">
        <v>112</v>
      </c>
      <c r="BU39" t="s">
        <v>348</v>
      </c>
      <c r="BV39" t="str">
        <f t="shared" si="0"/>
        <v>W45PDA</v>
      </c>
    </row>
    <row r="40" spans="1:74" x14ac:dyDescent="0.25">
      <c r="A40" t="s">
        <v>73</v>
      </c>
      <c r="B40" t="s">
        <v>74</v>
      </c>
      <c r="C40" t="s">
        <v>354</v>
      </c>
      <c r="D40" t="s">
        <v>355</v>
      </c>
      <c r="E40" t="s">
        <v>356</v>
      </c>
      <c r="G40" t="s">
        <v>677</v>
      </c>
      <c r="H40" t="s">
        <v>78</v>
      </c>
      <c r="I40" t="s">
        <v>102</v>
      </c>
      <c r="J40" t="s">
        <v>103</v>
      </c>
      <c r="K40" t="s">
        <v>104</v>
      </c>
      <c r="L40" t="s">
        <v>105</v>
      </c>
      <c r="N40" t="s">
        <v>106</v>
      </c>
      <c r="O40" t="s">
        <v>78</v>
      </c>
      <c r="P40" t="s">
        <v>91</v>
      </c>
      <c r="Q40" t="s">
        <v>78</v>
      </c>
      <c r="R40" t="s">
        <v>84</v>
      </c>
      <c r="S40" t="s">
        <v>78</v>
      </c>
      <c r="T40" t="s">
        <v>84</v>
      </c>
      <c r="U40" t="s">
        <v>78</v>
      </c>
      <c r="V40" t="s">
        <v>91</v>
      </c>
      <c r="W40" t="s">
        <v>78</v>
      </c>
      <c r="X40" t="s">
        <v>78</v>
      </c>
      <c r="Y40" t="s">
        <v>102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H40" t="s">
        <v>78</v>
      </c>
      <c r="AM40" t="s">
        <v>78</v>
      </c>
      <c r="AN40" t="s">
        <v>78</v>
      </c>
      <c r="AQ40" t="s">
        <v>78</v>
      </c>
      <c r="AR40" t="s">
        <v>78</v>
      </c>
      <c r="AW40" t="s">
        <v>78</v>
      </c>
      <c r="AX40" t="s">
        <v>102</v>
      </c>
      <c r="AY40" t="s">
        <v>78</v>
      </c>
      <c r="AZ40" t="s">
        <v>78</v>
      </c>
      <c r="BA40" t="s">
        <v>92</v>
      </c>
      <c r="BB40" t="s">
        <v>92</v>
      </c>
      <c r="BC40" t="s">
        <v>78</v>
      </c>
      <c r="BE40" t="s">
        <v>78</v>
      </c>
      <c r="BH40" t="s">
        <v>78</v>
      </c>
      <c r="BK40" t="s">
        <v>107</v>
      </c>
      <c r="BL40" t="s">
        <v>78</v>
      </c>
      <c r="BM40" t="s">
        <v>78</v>
      </c>
      <c r="BN40" t="s">
        <v>78</v>
      </c>
      <c r="BO40" t="s">
        <v>95</v>
      </c>
      <c r="BP40" t="s">
        <v>357</v>
      </c>
      <c r="BQ40" t="s">
        <v>358</v>
      </c>
      <c r="BR40" t="s">
        <v>357</v>
      </c>
      <c r="BS40" t="s">
        <v>359</v>
      </c>
      <c r="BT40" t="s">
        <v>170</v>
      </c>
      <c r="BU40" t="s">
        <v>354</v>
      </c>
      <c r="BV40" t="str">
        <f t="shared" si="0"/>
        <v>W40PDA</v>
      </c>
    </row>
    <row r="41" spans="1:74" x14ac:dyDescent="0.25">
      <c r="A41" t="s">
        <v>73</v>
      </c>
      <c r="B41" t="s">
        <v>74</v>
      </c>
      <c r="C41" t="s">
        <v>360</v>
      </c>
      <c r="D41" t="s">
        <v>361</v>
      </c>
      <c r="E41" t="s">
        <v>356</v>
      </c>
      <c r="G41" t="s">
        <v>677</v>
      </c>
      <c r="H41" t="s">
        <v>78</v>
      </c>
      <c r="I41" t="s">
        <v>102</v>
      </c>
      <c r="J41" t="s">
        <v>103</v>
      </c>
      <c r="K41" t="s">
        <v>104</v>
      </c>
      <c r="L41" t="s">
        <v>105</v>
      </c>
      <c r="N41" t="s">
        <v>106</v>
      </c>
      <c r="O41" t="s">
        <v>78</v>
      </c>
      <c r="P41" t="s">
        <v>91</v>
      </c>
      <c r="Q41" t="s">
        <v>78</v>
      </c>
      <c r="R41" t="s">
        <v>84</v>
      </c>
      <c r="S41" t="s">
        <v>78</v>
      </c>
      <c r="T41" t="s">
        <v>84</v>
      </c>
      <c r="U41" t="s">
        <v>78</v>
      </c>
      <c r="V41" t="s">
        <v>91</v>
      </c>
      <c r="W41" t="s">
        <v>78</v>
      </c>
      <c r="X41" t="s">
        <v>78</v>
      </c>
      <c r="Y41" t="s">
        <v>102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H41" t="s">
        <v>78</v>
      </c>
      <c r="AM41" t="s">
        <v>78</v>
      </c>
      <c r="AN41" t="s">
        <v>78</v>
      </c>
      <c r="AQ41" t="s">
        <v>78</v>
      </c>
      <c r="AR41" t="s">
        <v>78</v>
      </c>
      <c r="AW41" t="s">
        <v>78</v>
      </c>
      <c r="AX41" t="s">
        <v>102</v>
      </c>
      <c r="AY41" t="s">
        <v>78</v>
      </c>
      <c r="AZ41" t="s">
        <v>78</v>
      </c>
      <c r="BA41" t="s">
        <v>92</v>
      </c>
      <c r="BB41" t="s">
        <v>92</v>
      </c>
      <c r="BC41" t="s">
        <v>78</v>
      </c>
      <c r="BE41" t="s">
        <v>78</v>
      </c>
      <c r="BH41" t="s">
        <v>78</v>
      </c>
      <c r="BK41" t="s">
        <v>107</v>
      </c>
      <c r="BL41" t="s">
        <v>78</v>
      </c>
      <c r="BM41" t="s">
        <v>78</v>
      </c>
      <c r="BN41" t="s">
        <v>78</v>
      </c>
      <c r="BO41" t="s">
        <v>95</v>
      </c>
      <c r="BP41" t="s">
        <v>357</v>
      </c>
      <c r="BQ41" t="s">
        <v>362</v>
      </c>
      <c r="BR41" t="s">
        <v>357</v>
      </c>
      <c r="BS41" t="s">
        <v>359</v>
      </c>
      <c r="BT41" t="s">
        <v>170</v>
      </c>
      <c r="BU41" t="s">
        <v>360</v>
      </c>
      <c r="BV41" t="str">
        <f t="shared" si="0"/>
        <v>W40PDA</v>
      </c>
    </row>
    <row r="42" spans="1:74" x14ac:dyDescent="0.25">
      <c r="A42" t="s">
        <v>73</v>
      </c>
      <c r="B42" t="s">
        <v>74</v>
      </c>
      <c r="C42" t="s">
        <v>363</v>
      </c>
      <c r="D42" t="s">
        <v>364</v>
      </c>
      <c r="E42" t="s">
        <v>365</v>
      </c>
      <c r="G42" t="s">
        <v>677</v>
      </c>
      <c r="H42" t="s">
        <v>78</v>
      </c>
      <c r="I42" t="s">
        <v>102</v>
      </c>
      <c r="J42" t="s">
        <v>103</v>
      </c>
      <c r="K42" t="s">
        <v>104</v>
      </c>
      <c r="L42" t="s">
        <v>105</v>
      </c>
      <c r="N42" t="s">
        <v>106</v>
      </c>
      <c r="O42" t="s">
        <v>78</v>
      </c>
      <c r="P42" t="s">
        <v>91</v>
      </c>
      <c r="Q42" t="s">
        <v>78</v>
      </c>
      <c r="R42" t="s">
        <v>84</v>
      </c>
      <c r="S42" t="s">
        <v>78</v>
      </c>
      <c r="T42" t="s">
        <v>84</v>
      </c>
      <c r="U42" t="s">
        <v>78</v>
      </c>
      <c r="V42" t="s">
        <v>91</v>
      </c>
      <c r="W42" t="s">
        <v>78</v>
      </c>
      <c r="X42" t="s">
        <v>78</v>
      </c>
      <c r="Y42" t="s">
        <v>102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H42" t="s">
        <v>78</v>
      </c>
      <c r="AM42" t="s">
        <v>78</v>
      </c>
      <c r="AN42" t="s">
        <v>78</v>
      </c>
      <c r="AQ42" t="s">
        <v>78</v>
      </c>
      <c r="AR42" t="s">
        <v>78</v>
      </c>
      <c r="AW42" t="s">
        <v>78</v>
      </c>
      <c r="AX42" t="s">
        <v>102</v>
      </c>
      <c r="AY42" t="s">
        <v>78</v>
      </c>
      <c r="AZ42" t="s">
        <v>78</v>
      </c>
      <c r="BA42" t="s">
        <v>92</v>
      </c>
      <c r="BB42" t="s">
        <v>92</v>
      </c>
      <c r="BC42" t="s">
        <v>78</v>
      </c>
      <c r="BE42" t="s">
        <v>78</v>
      </c>
      <c r="BH42" t="s">
        <v>78</v>
      </c>
      <c r="BK42" t="s">
        <v>107</v>
      </c>
      <c r="BL42" t="s">
        <v>78</v>
      </c>
      <c r="BM42" t="s">
        <v>78</v>
      </c>
      <c r="BN42" t="s">
        <v>78</v>
      </c>
      <c r="BO42" t="s">
        <v>95</v>
      </c>
      <c r="BP42" t="s">
        <v>357</v>
      </c>
      <c r="BQ42" t="s">
        <v>366</v>
      </c>
      <c r="BR42" t="s">
        <v>357</v>
      </c>
      <c r="BS42" t="s">
        <v>359</v>
      </c>
      <c r="BT42" t="s">
        <v>170</v>
      </c>
      <c r="BU42" t="s">
        <v>363</v>
      </c>
      <c r="BV42" t="str">
        <f t="shared" si="0"/>
        <v>W40PDA</v>
      </c>
    </row>
    <row r="43" spans="1:74" x14ac:dyDescent="0.25">
      <c r="A43" t="s">
        <v>73</v>
      </c>
      <c r="B43" t="s">
        <v>74</v>
      </c>
      <c r="C43" t="s">
        <v>367</v>
      </c>
      <c r="D43" t="s">
        <v>368</v>
      </c>
      <c r="E43" t="s">
        <v>368</v>
      </c>
      <c r="G43" t="s">
        <v>677</v>
      </c>
      <c r="H43" t="s">
        <v>78</v>
      </c>
      <c r="I43" t="s">
        <v>90</v>
      </c>
      <c r="J43" t="s">
        <v>124</v>
      </c>
      <c r="K43" t="s">
        <v>125</v>
      </c>
      <c r="L43" t="s">
        <v>143</v>
      </c>
      <c r="N43" t="s">
        <v>126</v>
      </c>
      <c r="O43" t="s">
        <v>78</v>
      </c>
      <c r="P43" t="s">
        <v>91</v>
      </c>
      <c r="Q43" t="s">
        <v>78</v>
      </c>
      <c r="R43" t="s">
        <v>84</v>
      </c>
      <c r="S43" t="s">
        <v>78</v>
      </c>
      <c r="T43" t="s">
        <v>84</v>
      </c>
      <c r="U43" t="s">
        <v>78</v>
      </c>
      <c r="V43" t="s">
        <v>91</v>
      </c>
      <c r="W43" t="s">
        <v>84</v>
      </c>
      <c r="X43" t="s">
        <v>84</v>
      </c>
      <c r="Y43" t="s">
        <v>90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H43" t="s">
        <v>78</v>
      </c>
      <c r="AM43" t="s">
        <v>78</v>
      </c>
      <c r="AN43" t="s">
        <v>78</v>
      </c>
      <c r="AQ43" t="s">
        <v>78</v>
      </c>
      <c r="AR43" t="s">
        <v>78</v>
      </c>
      <c r="AV43" t="s">
        <v>144</v>
      </c>
      <c r="AW43" t="s">
        <v>89</v>
      </c>
      <c r="AX43" t="s">
        <v>90</v>
      </c>
      <c r="AY43" t="s">
        <v>78</v>
      </c>
      <c r="AZ43" t="s">
        <v>91</v>
      </c>
      <c r="BA43" t="s">
        <v>92</v>
      </c>
      <c r="BB43" t="s">
        <v>92</v>
      </c>
      <c r="BC43" t="s">
        <v>78</v>
      </c>
      <c r="BE43" t="s">
        <v>78</v>
      </c>
      <c r="BH43" t="s">
        <v>78</v>
      </c>
      <c r="BK43" t="s">
        <v>107</v>
      </c>
      <c r="BL43" t="s">
        <v>78</v>
      </c>
      <c r="BM43" t="s">
        <v>78</v>
      </c>
      <c r="BN43" t="s">
        <v>78</v>
      </c>
      <c r="BO43" t="s">
        <v>127</v>
      </c>
      <c r="BP43" t="s">
        <v>369</v>
      </c>
      <c r="BQ43" t="s">
        <v>370</v>
      </c>
      <c r="BR43" t="s">
        <v>371</v>
      </c>
      <c r="BS43" t="s">
        <v>372</v>
      </c>
      <c r="BT43" t="s">
        <v>183</v>
      </c>
      <c r="BU43" t="s">
        <v>367</v>
      </c>
      <c r="BV43" t="str">
        <f t="shared" si="0"/>
        <v>W40PDA</v>
      </c>
    </row>
    <row r="44" spans="1:74" x14ac:dyDescent="0.25">
      <c r="A44" t="s">
        <v>73</v>
      </c>
      <c r="B44" t="s">
        <v>74</v>
      </c>
      <c r="C44" t="s">
        <v>373</v>
      </c>
      <c r="D44" t="s">
        <v>374</v>
      </c>
      <c r="E44" t="s">
        <v>374</v>
      </c>
      <c r="G44" t="s">
        <v>676</v>
      </c>
      <c r="H44" t="s">
        <v>78</v>
      </c>
      <c r="I44" t="s">
        <v>90</v>
      </c>
      <c r="J44" t="s">
        <v>124</v>
      </c>
      <c r="K44" t="s">
        <v>125</v>
      </c>
      <c r="L44" t="s">
        <v>143</v>
      </c>
      <c r="N44" t="s">
        <v>126</v>
      </c>
      <c r="O44" t="s">
        <v>78</v>
      </c>
      <c r="P44" t="s">
        <v>91</v>
      </c>
      <c r="Q44" t="s">
        <v>78</v>
      </c>
      <c r="R44" t="s">
        <v>84</v>
      </c>
      <c r="S44" t="s">
        <v>78</v>
      </c>
      <c r="T44" t="s">
        <v>84</v>
      </c>
      <c r="U44" t="s">
        <v>78</v>
      </c>
      <c r="V44" t="s">
        <v>91</v>
      </c>
      <c r="W44" t="s">
        <v>84</v>
      </c>
      <c r="X44" t="s">
        <v>84</v>
      </c>
      <c r="Y44" t="s">
        <v>90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H44" t="s">
        <v>78</v>
      </c>
      <c r="AM44" t="s">
        <v>78</v>
      </c>
      <c r="AN44" t="s">
        <v>78</v>
      </c>
      <c r="AQ44" t="s">
        <v>78</v>
      </c>
      <c r="AR44" t="s">
        <v>78</v>
      </c>
      <c r="AV44" t="s">
        <v>144</v>
      </c>
      <c r="AW44" t="s">
        <v>89</v>
      </c>
      <c r="AX44" t="s">
        <v>90</v>
      </c>
      <c r="AY44" t="s">
        <v>78</v>
      </c>
      <c r="AZ44" t="s">
        <v>91</v>
      </c>
      <c r="BA44" t="s">
        <v>92</v>
      </c>
      <c r="BB44" t="s">
        <v>92</v>
      </c>
      <c r="BC44" t="s">
        <v>78</v>
      </c>
      <c r="BE44" t="s">
        <v>78</v>
      </c>
      <c r="BH44" t="s">
        <v>78</v>
      </c>
      <c r="BK44" t="s">
        <v>107</v>
      </c>
      <c r="BL44" t="s">
        <v>78</v>
      </c>
      <c r="BM44" t="s">
        <v>78</v>
      </c>
      <c r="BN44" t="s">
        <v>78</v>
      </c>
      <c r="BO44" t="s">
        <v>127</v>
      </c>
      <c r="BP44" t="s">
        <v>375</v>
      </c>
      <c r="BQ44" t="s">
        <v>376</v>
      </c>
      <c r="BR44" t="s">
        <v>138</v>
      </c>
      <c r="BS44" t="s">
        <v>377</v>
      </c>
      <c r="BT44" t="s">
        <v>112</v>
      </c>
      <c r="BU44" t="s">
        <v>373</v>
      </c>
      <c r="BV44" t="str">
        <f t="shared" si="0"/>
        <v>W45PDA</v>
      </c>
    </row>
    <row r="45" spans="1:74" x14ac:dyDescent="0.25">
      <c r="A45" t="s">
        <v>73</v>
      </c>
      <c r="B45" t="s">
        <v>74</v>
      </c>
      <c r="C45" t="s">
        <v>378</v>
      </c>
      <c r="D45" t="s">
        <v>379</v>
      </c>
      <c r="E45" t="s">
        <v>379</v>
      </c>
      <c r="G45" t="s">
        <v>677</v>
      </c>
      <c r="H45" t="s">
        <v>78</v>
      </c>
      <c r="I45" t="s">
        <v>90</v>
      </c>
      <c r="J45" t="s">
        <v>222</v>
      </c>
      <c r="K45" t="s">
        <v>125</v>
      </c>
      <c r="L45" t="s">
        <v>82</v>
      </c>
      <c r="N45" t="s">
        <v>126</v>
      </c>
      <c r="O45" t="s">
        <v>78</v>
      </c>
      <c r="P45" t="s">
        <v>91</v>
      </c>
      <c r="Q45" t="s">
        <v>78</v>
      </c>
      <c r="R45" t="s">
        <v>84</v>
      </c>
      <c r="S45" t="s">
        <v>78</v>
      </c>
      <c r="T45" t="s">
        <v>84</v>
      </c>
      <c r="U45" t="s">
        <v>78</v>
      </c>
      <c r="V45" t="s">
        <v>91</v>
      </c>
      <c r="W45" t="s">
        <v>84</v>
      </c>
      <c r="X45" t="s">
        <v>84</v>
      </c>
      <c r="Y45" t="s">
        <v>90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H45" t="s">
        <v>78</v>
      </c>
      <c r="AM45" t="s">
        <v>78</v>
      </c>
      <c r="AN45" t="s">
        <v>78</v>
      </c>
      <c r="AQ45" t="s">
        <v>78</v>
      </c>
      <c r="AR45" t="s">
        <v>78</v>
      </c>
      <c r="AV45" t="s">
        <v>144</v>
      </c>
      <c r="AW45" t="s">
        <v>89</v>
      </c>
      <c r="AX45" t="s">
        <v>90</v>
      </c>
      <c r="AY45" t="s">
        <v>78</v>
      </c>
      <c r="AZ45" t="s">
        <v>91</v>
      </c>
      <c r="BA45" t="s">
        <v>92</v>
      </c>
      <c r="BB45" t="s">
        <v>92</v>
      </c>
      <c r="BC45" t="s">
        <v>78</v>
      </c>
      <c r="BE45" t="s">
        <v>78</v>
      </c>
      <c r="BH45" t="s">
        <v>78</v>
      </c>
      <c r="BK45" t="s">
        <v>107</v>
      </c>
      <c r="BL45" t="s">
        <v>78</v>
      </c>
      <c r="BM45" t="s">
        <v>78</v>
      </c>
      <c r="BN45" t="s">
        <v>78</v>
      </c>
      <c r="BO45" t="s">
        <v>127</v>
      </c>
      <c r="BP45" t="s">
        <v>375</v>
      </c>
      <c r="BQ45" t="s">
        <v>380</v>
      </c>
      <c r="BR45" t="s">
        <v>138</v>
      </c>
      <c r="BS45" t="s">
        <v>381</v>
      </c>
      <c r="BT45" t="s">
        <v>112</v>
      </c>
      <c r="BU45" t="s">
        <v>378</v>
      </c>
      <c r="BV45" t="str">
        <f t="shared" si="0"/>
        <v>W40PDA</v>
      </c>
    </row>
    <row r="46" spans="1:74" x14ac:dyDescent="0.25">
      <c r="A46" t="s">
        <v>73</v>
      </c>
      <c r="B46" t="s">
        <v>74</v>
      </c>
      <c r="C46" t="s">
        <v>382</v>
      </c>
      <c r="D46" t="s">
        <v>383</v>
      </c>
      <c r="G46" t="s">
        <v>677</v>
      </c>
      <c r="H46" t="s">
        <v>78</v>
      </c>
      <c r="I46" t="s">
        <v>90</v>
      </c>
      <c r="J46" t="s">
        <v>124</v>
      </c>
      <c r="K46" t="s">
        <v>152</v>
      </c>
      <c r="L46" t="s">
        <v>82</v>
      </c>
      <c r="N46" t="s">
        <v>126</v>
      </c>
      <c r="O46" t="s">
        <v>78</v>
      </c>
      <c r="P46" t="s">
        <v>91</v>
      </c>
      <c r="Q46" t="s">
        <v>78</v>
      </c>
      <c r="R46" t="s">
        <v>84</v>
      </c>
      <c r="S46" t="s">
        <v>78</v>
      </c>
      <c r="T46" t="s">
        <v>84</v>
      </c>
      <c r="U46" t="s">
        <v>78</v>
      </c>
      <c r="V46" t="s">
        <v>91</v>
      </c>
      <c r="W46" t="s">
        <v>84</v>
      </c>
      <c r="X46" t="s">
        <v>84</v>
      </c>
      <c r="Y46" t="s">
        <v>90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H46" t="s">
        <v>78</v>
      </c>
      <c r="AM46" t="s">
        <v>78</v>
      </c>
      <c r="AN46" t="s">
        <v>78</v>
      </c>
      <c r="AQ46" t="s">
        <v>78</v>
      </c>
      <c r="AR46" t="s">
        <v>78</v>
      </c>
      <c r="AV46" t="s">
        <v>384</v>
      </c>
      <c r="AW46" t="s">
        <v>89</v>
      </c>
      <c r="AX46" t="s">
        <v>385</v>
      </c>
      <c r="AY46" t="s">
        <v>78</v>
      </c>
      <c r="AZ46" t="s">
        <v>91</v>
      </c>
      <c r="BA46" t="s">
        <v>92</v>
      </c>
      <c r="BB46" t="s">
        <v>92</v>
      </c>
      <c r="BC46" t="s">
        <v>78</v>
      </c>
      <c r="BE46" t="s">
        <v>78</v>
      </c>
      <c r="BH46" t="s">
        <v>78</v>
      </c>
      <c r="BK46" t="s">
        <v>107</v>
      </c>
      <c r="BL46" t="s">
        <v>78</v>
      </c>
      <c r="BM46" t="s">
        <v>84</v>
      </c>
      <c r="BN46" t="s">
        <v>78</v>
      </c>
      <c r="BO46" t="s">
        <v>95</v>
      </c>
      <c r="BP46" t="s">
        <v>386</v>
      </c>
      <c r="BQ46" t="s">
        <v>387</v>
      </c>
      <c r="BR46" t="s">
        <v>138</v>
      </c>
      <c r="BS46" t="s">
        <v>200</v>
      </c>
      <c r="BT46" t="s">
        <v>112</v>
      </c>
      <c r="BU46" t="s">
        <v>382</v>
      </c>
      <c r="BV46" t="str">
        <f t="shared" si="0"/>
        <v>W40PDA</v>
      </c>
    </row>
    <row r="47" spans="1:74" x14ac:dyDescent="0.25">
      <c r="A47" t="s">
        <v>73</v>
      </c>
      <c r="B47" t="s">
        <v>74</v>
      </c>
      <c r="C47" t="s">
        <v>388</v>
      </c>
      <c r="D47" t="s">
        <v>389</v>
      </c>
      <c r="G47" t="s">
        <v>677</v>
      </c>
      <c r="H47" t="s">
        <v>78</v>
      </c>
      <c r="I47" t="s">
        <v>90</v>
      </c>
      <c r="J47" t="s">
        <v>124</v>
      </c>
      <c r="K47" t="s">
        <v>152</v>
      </c>
      <c r="L47" t="s">
        <v>82</v>
      </c>
      <c r="N47" t="s">
        <v>126</v>
      </c>
      <c r="O47" t="s">
        <v>78</v>
      </c>
      <c r="P47" t="s">
        <v>91</v>
      </c>
      <c r="Q47" t="s">
        <v>78</v>
      </c>
      <c r="R47" t="s">
        <v>84</v>
      </c>
      <c r="S47" t="s">
        <v>78</v>
      </c>
      <c r="T47" t="s">
        <v>84</v>
      </c>
      <c r="U47" t="s">
        <v>78</v>
      </c>
      <c r="V47" t="s">
        <v>91</v>
      </c>
      <c r="W47" t="s">
        <v>84</v>
      </c>
      <c r="X47" t="s">
        <v>84</v>
      </c>
      <c r="Y47" t="s">
        <v>90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H47" t="s">
        <v>78</v>
      </c>
      <c r="AM47" t="s">
        <v>78</v>
      </c>
      <c r="AN47" t="s">
        <v>78</v>
      </c>
      <c r="AQ47" t="s">
        <v>78</v>
      </c>
      <c r="AR47" t="s">
        <v>78</v>
      </c>
      <c r="AV47" t="s">
        <v>384</v>
      </c>
      <c r="AW47" t="s">
        <v>89</v>
      </c>
      <c r="AX47" t="s">
        <v>90</v>
      </c>
      <c r="AY47" t="s">
        <v>78</v>
      </c>
      <c r="AZ47" t="s">
        <v>91</v>
      </c>
      <c r="BA47" t="s">
        <v>92</v>
      </c>
      <c r="BB47" t="s">
        <v>92</v>
      </c>
      <c r="BC47" t="s">
        <v>78</v>
      </c>
      <c r="BE47" t="s">
        <v>78</v>
      </c>
      <c r="BH47" t="s">
        <v>78</v>
      </c>
      <c r="BK47" t="s">
        <v>107</v>
      </c>
      <c r="BL47" t="s">
        <v>78</v>
      </c>
      <c r="BM47" t="s">
        <v>78</v>
      </c>
      <c r="BN47" t="s">
        <v>78</v>
      </c>
      <c r="BO47" t="s">
        <v>95</v>
      </c>
      <c r="BP47" t="s">
        <v>390</v>
      </c>
      <c r="BQ47" t="s">
        <v>391</v>
      </c>
      <c r="BR47" t="s">
        <v>138</v>
      </c>
      <c r="BS47" t="s">
        <v>392</v>
      </c>
      <c r="BT47" t="s">
        <v>112</v>
      </c>
      <c r="BU47" t="s">
        <v>388</v>
      </c>
      <c r="BV47" t="str">
        <f t="shared" si="0"/>
        <v>W40PDA</v>
      </c>
    </row>
    <row r="48" spans="1:74" x14ac:dyDescent="0.25">
      <c r="A48" t="s">
        <v>73</v>
      </c>
      <c r="B48" t="s">
        <v>74</v>
      </c>
      <c r="C48" t="s">
        <v>393</v>
      </c>
      <c r="D48" t="s">
        <v>394</v>
      </c>
      <c r="E48" t="s">
        <v>394</v>
      </c>
      <c r="G48" t="s">
        <v>677</v>
      </c>
      <c r="H48" t="s">
        <v>78</v>
      </c>
      <c r="I48" t="s">
        <v>90</v>
      </c>
      <c r="J48" t="s">
        <v>124</v>
      </c>
      <c r="K48" t="s">
        <v>125</v>
      </c>
      <c r="L48" t="s">
        <v>143</v>
      </c>
      <c r="N48" t="s">
        <v>126</v>
      </c>
      <c r="O48" t="s">
        <v>78</v>
      </c>
      <c r="P48" t="s">
        <v>91</v>
      </c>
      <c r="Q48" t="s">
        <v>78</v>
      </c>
      <c r="R48" t="s">
        <v>84</v>
      </c>
      <c r="S48" t="s">
        <v>78</v>
      </c>
      <c r="T48" t="s">
        <v>84</v>
      </c>
      <c r="U48" t="s">
        <v>78</v>
      </c>
      <c r="V48" t="s">
        <v>91</v>
      </c>
      <c r="W48" t="s">
        <v>84</v>
      </c>
      <c r="X48" t="s">
        <v>84</v>
      </c>
      <c r="Y48" t="s">
        <v>90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H48" t="s">
        <v>78</v>
      </c>
      <c r="AM48" t="s">
        <v>78</v>
      </c>
      <c r="AN48" t="s">
        <v>78</v>
      </c>
      <c r="AQ48" t="s">
        <v>78</v>
      </c>
      <c r="AR48" t="s">
        <v>78</v>
      </c>
      <c r="AV48" t="s">
        <v>144</v>
      </c>
      <c r="AW48" t="s">
        <v>89</v>
      </c>
      <c r="AX48" t="s">
        <v>90</v>
      </c>
      <c r="AY48" t="s">
        <v>78</v>
      </c>
      <c r="AZ48" t="s">
        <v>91</v>
      </c>
      <c r="BA48" t="s">
        <v>92</v>
      </c>
      <c r="BB48" t="s">
        <v>92</v>
      </c>
      <c r="BC48" t="s">
        <v>78</v>
      </c>
      <c r="BE48" t="s">
        <v>78</v>
      </c>
      <c r="BH48" t="s">
        <v>78</v>
      </c>
      <c r="BK48" t="s">
        <v>107</v>
      </c>
      <c r="BL48" t="s">
        <v>78</v>
      </c>
      <c r="BM48" t="s">
        <v>78</v>
      </c>
      <c r="BN48" t="s">
        <v>78</v>
      </c>
      <c r="BO48" t="s">
        <v>127</v>
      </c>
      <c r="BP48" t="s">
        <v>395</v>
      </c>
      <c r="BQ48" t="s">
        <v>396</v>
      </c>
      <c r="BR48" t="s">
        <v>395</v>
      </c>
      <c r="BS48" t="s">
        <v>97</v>
      </c>
      <c r="BT48" t="s">
        <v>170</v>
      </c>
      <c r="BU48" t="s">
        <v>393</v>
      </c>
      <c r="BV48" t="str">
        <f t="shared" si="0"/>
        <v>W40PDA</v>
      </c>
    </row>
    <row r="49" spans="1:74" x14ac:dyDescent="0.25">
      <c r="A49" t="s">
        <v>73</v>
      </c>
      <c r="B49" t="s">
        <v>74</v>
      </c>
      <c r="C49" t="s">
        <v>397</v>
      </c>
      <c r="D49" t="s">
        <v>398</v>
      </c>
      <c r="G49" t="s">
        <v>677</v>
      </c>
      <c r="H49" t="s">
        <v>78</v>
      </c>
      <c r="I49" t="s">
        <v>90</v>
      </c>
      <c r="J49" t="s">
        <v>124</v>
      </c>
      <c r="K49" t="s">
        <v>152</v>
      </c>
      <c r="L49" t="s">
        <v>82</v>
      </c>
      <c r="N49" t="s">
        <v>126</v>
      </c>
      <c r="O49" t="s">
        <v>78</v>
      </c>
      <c r="P49" t="s">
        <v>91</v>
      </c>
      <c r="Q49" t="s">
        <v>78</v>
      </c>
      <c r="R49" t="s">
        <v>84</v>
      </c>
      <c r="S49" t="s">
        <v>78</v>
      </c>
      <c r="T49" t="s">
        <v>84</v>
      </c>
      <c r="U49" t="s">
        <v>78</v>
      </c>
      <c r="V49" t="s">
        <v>91</v>
      </c>
      <c r="W49" t="s">
        <v>84</v>
      </c>
      <c r="X49" t="s">
        <v>84</v>
      </c>
      <c r="Y49" t="s">
        <v>90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H49" t="s">
        <v>78</v>
      </c>
      <c r="AM49" t="s">
        <v>78</v>
      </c>
      <c r="AN49" t="s">
        <v>78</v>
      </c>
      <c r="AQ49" t="s">
        <v>78</v>
      </c>
      <c r="AR49" t="s">
        <v>78</v>
      </c>
      <c r="AV49" t="s">
        <v>153</v>
      </c>
      <c r="AW49" t="s">
        <v>89</v>
      </c>
      <c r="AX49" t="s">
        <v>90</v>
      </c>
      <c r="AY49" t="s">
        <v>78</v>
      </c>
      <c r="AZ49" t="s">
        <v>91</v>
      </c>
      <c r="BA49" t="s">
        <v>92</v>
      </c>
      <c r="BB49" t="s">
        <v>92</v>
      </c>
      <c r="BC49" t="s">
        <v>78</v>
      </c>
      <c r="BE49" t="s">
        <v>78</v>
      </c>
      <c r="BH49" t="s">
        <v>78</v>
      </c>
      <c r="BK49" t="s">
        <v>107</v>
      </c>
      <c r="BL49" t="s">
        <v>78</v>
      </c>
      <c r="BM49" t="s">
        <v>84</v>
      </c>
      <c r="BN49" t="s">
        <v>78</v>
      </c>
      <c r="BO49" t="s">
        <v>95</v>
      </c>
      <c r="BP49" t="s">
        <v>399</v>
      </c>
      <c r="BQ49" t="s">
        <v>400</v>
      </c>
      <c r="BR49" t="s">
        <v>110</v>
      </c>
      <c r="BS49" t="s">
        <v>401</v>
      </c>
      <c r="BT49" t="s">
        <v>112</v>
      </c>
      <c r="BU49" t="s">
        <v>397</v>
      </c>
      <c r="BV49" t="str">
        <f t="shared" si="0"/>
        <v>W40PDA</v>
      </c>
    </row>
    <row r="50" spans="1:74" x14ac:dyDescent="0.25">
      <c r="A50" t="s">
        <v>73</v>
      </c>
      <c r="B50" t="s">
        <v>74</v>
      </c>
      <c r="C50" t="s">
        <v>402</v>
      </c>
      <c r="D50" t="s">
        <v>403</v>
      </c>
      <c r="E50" t="s">
        <v>404</v>
      </c>
      <c r="G50" t="s">
        <v>677</v>
      </c>
      <c r="H50" t="s">
        <v>78</v>
      </c>
      <c r="I50" t="s">
        <v>90</v>
      </c>
      <c r="J50" t="s">
        <v>124</v>
      </c>
      <c r="K50" t="s">
        <v>125</v>
      </c>
      <c r="L50" t="s">
        <v>143</v>
      </c>
      <c r="N50" t="s">
        <v>126</v>
      </c>
      <c r="O50" t="s">
        <v>78</v>
      </c>
      <c r="P50" t="s">
        <v>91</v>
      </c>
      <c r="Q50" t="s">
        <v>78</v>
      </c>
      <c r="R50" t="s">
        <v>84</v>
      </c>
      <c r="S50" t="s">
        <v>78</v>
      </c>
      <c r="T50" t="s">
        <v>84</v>
      </c>
      <c r="U50" t="s">
        <v>78</v>
      </c>
      <c r="V50" t="s">
        <v>91</v>
      </c>
      <c r="W50" t="s">
        <v>84</v>
      </c>
      <c r="X50" t="s">
        <v>84</v>
      </c>
      <c r="Y50" t="s">
        <v>90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H50" t="s">
        <v>78</v>
      </c>
      <c r="AM50" t="s">
        <v>78</v>
      </c>
      <c r="AN50" t="s">
        <v>78</v>
      </c>
      <c r="AQ50" t="s">
        <v>78</v>
      </c>
      <c r="AR50" t="s">
        <v>78</v>
      </c>
      <c r="AV50" t="s">
        <v>144</v>
      </c>
      <c r="AW50" t="s">
        <v>89</v>
      </c>
      <c r="AX50" t="s">
        <v>90</v>
      </c>
      <c r="AY50" t="s">
        <v>78</v>
      </c>
      <c r="AZ50" t="s">
        <v>91</v>
      </c>
      <c r="BA50" t="s">
        <v>92</v>
      </c>
      <c r="BB50" t="s">
        <v>92</v>
      </c>
      <c r="BC50" t="s">
        <v>78</v>
      </c>
      <c r="BE50" t="s">
        <v>78</v>
      </c>
      <c r="BH50" t="s">
        <v>78</v>
      </c>
      <c r="BK50" t="s">
        <v>107</v>
      </c>
      <c r="BL50" t="s">
        <v>78</v>
      </c>
      <c r="BM50" t="s">
        <v>78</v>
      </c>
      <c r="BN50" t="s">
        <v>78</v>
      </c>
      <c r="BO50" t="s">
        <v>127</v>
      </c>
      <c r="BP50" t="s">
        <v>405</v>
      </c>
      <c r="BQ50" t="s">
        <v>406</v>
      </c>
      <c r="BR50" t="s">
        <v>138</v>
      </c>
      <c r="BS50" t="s">
        <v>359</v>
      </c>
      <c r="BT50" t="s">
        <v>112</v>
      </c>
      <c r="BU50" t="s">
        <v>402</v>
      </c>
      <c r="BV50" t="str">
        <f t="shared" si="0"/>
        <v>W40PDA</v>
      </c>
    </row>
    <row r="51" spans="1:74" x14ac:dyDescent="0.25">
      <c r="A51" t="s">
        <v>73</v>
      </c>
      <c r="B51" t="s">
        <v>74</v>
      </c>
      <c r="C51" t="s">
        <v>407</v>
      </c>
      <c r="D51" t="s">
        <v>408</v>
      </c>
      <c r="G51" t="s">
        <v>677</v>
      </c>
      <c r="H51" t="s">
        <v>78</v>
      </c>
      <c r="I51" t="s">
        <v>90</v>
      </c>
      <c r="J51" t="s">
        <v>124</v>
      </c>
      <c r="K51" t="s">
        <v>125</v>
      </c>
      <c r="L51" t="s">
        <v>180</v>
      </c>
      <c r="N51" t="s">
        <v>126</v>
      </c>
      <c r="O51" t="s">
        <v>78</v>
      </c>
      <c r="P51" t="s">
        <v>91</v>
      </c>
      <c r="Q51" t="s">
        <v>78</v>
      </c>
      <c r="R51" t="s">
        <v>84</v>
      </c>
      <c r="S51" t="s">
        <v>78</v>
      </c>
      <c r="T51" t="s">
        <v>84</v>
      </c>
      <c r="U51" t="s">
        <v>78</v>
      </c>
      <c r="V51" t="s">
        <v>91</v>
      </c>
      <c r="W51" t="s">
        <v>84</v>
      </c>
      <c r="X51" t="s">
        <v>84</v>
      </c>
      <c r="Y51" t="s">
        <v>90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H51" t="s">
        <v>78</v>
      </c>
      <c r="AM51" t="s">
        <v>78</v>
      </c>
      <c r="AN51" t="s">
        <v>78</v>
      </c>
      <c r="AQ51" t="s">
        <v>78</v>
      </c>
      <c r="AR51" t="s">
        <v>78</v>
      </c>
      <c r="AV51" t="s">
        <v>384</v>
      </c>
      <c r="AW51" t="s">
        <v>89</v>
      </c>
      <c r="AX51" t="s">
        <v>90</v>
      </c>
      <c r="AY51" t="s">
        <v>78</v>
      </c>
      <c r="AZ51" t="s">
        <v>91</v>
      </c>
      <c r="BA51" t="s">
        <v>92</v>
      </c>
      <c r="BB51" t="s">
        <v>92</v>
      </c>
      <c r="BC51" t="s">
        <v>78</v>
      </c>
      <c r="BE51" t="s">
        <v>78</v>
      </c>
      <c r="BH51" t="s">
        <v>78</v>
      </c>
      <c r="BK51" t="s">
        <v>107</v>
      </c>
      <c r="BL51" t="s">
        <v>78</v>
      </c>
      <c r="BM51" t="s">
        <v>78</v>
      </c>
      <c r="BN51" t="s">
        <v>78</v>
      </c>
      <c r="BO51" t="s">
        <v>127</v>
      </c>
      <c r="BP51" t="s">
        <v>409</v>
      </c>
      <c r="BQ51" t="s">
        <v>410</v>
      </c>
      <c r="BR51" t="s">
        <v>347</v>
      </c>
      <c r="BS51" t="s">
        <v>411</v>
      </c>
      <c r="BT51" t="s">
        <v>112</v>
      </c>
      <c r="BU51" t="s">
        <v>407</v>
      </c>
      <c r="BV51" t="str">
        <f t="shared" si="0"/>
        <v>W40PDA</v>
      </c>
    </row>
    <row r="52" spans="1:74" x14ac:dyDescent="0.25">
      <c r="A52" t="s">
        <v>73</v>
      </c>
      <c r="B52" t="s">
        <v>74</v>
      </c>
      <c r="C52" t="s">
        <v>412</v>
      </c>
      <c r="D52" t="s">
        <v>413</v>
      </c>
      <c r="E52" t="s">
        <v>414</v>
      </c>
      <c r="G52" t="s">
        <v>676</v>
      </c>
      <c r="H52" t="s">
        <v>78</v>
      </c>
      <c r="I52" t="s">
        <v>90</v>
      </c>
      <c r="J52" t="s">
        <v>103</v>
      </c>
      <c r="K52" t="s">
        <v>135</v>
      </c>
      <c r="L52" t="s">
        <v>105</v>
      </c>
      <c r="N52" t="s">
        <v>106</v>
      </c>
      <c r="O52" t="s">
        <v>78</v>
      </c>
      <c r="P52" t="s">
        <v>91</v>
      </c>
      <c r="Q52" t="s">
        <v>78</v>
      </c>
      <c r="R52" t="s">
        <v>84</v>
      </c>
      <c r="S52" t="s">
        <v>78</v>
      </c>
      <c r="T52" t="s">
        <v>84</v>
      </c>
      <c r="U52" t="s">
        <v>78</v>
      </c>
      <c r="V52" t="s">
        <v>91</v>
      </c>
      <c r="W52" t="s">
        <v>78</v>
      </c>
      <c r="X52" t="s">
        <v>78</v>
      </c>
      <c r="Y52" t="s">
        <v>90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H52" t="s">
        <v>78</v>
      </c>
      <c r="AM52" t="s">
        <v>78</v>
      </c>
      <c r="AN52" t="s">
        <v>78</v>
      </c>
      <c r="AQ52" t="s">
        <v>78</v>
      </c>
      <c r="AR52" t="s">
        <v>78</v>
      </c>
      <c r="AV52" t="s">
        <v>136</v>
      </c>
      <c r="AW52" t="s">
        <v>89</v>
      </c>
      <c r="AX52" t="s">
        <v>90</v>
      </c>
      <c r="AY52" t="s">
        <v>78</v>
      </c>
      <c r="AZ52" t="s">
        <v>78</v>
      </c>
      <c r="BA52" t="s">
        <v>92</v>
      </c>
      <c r="BB52" t="s">
        <v>92</v>
      </c>
      <c r="BC52" t="s">
        <v>78</v>
      </c>
      <c r="BE52" t="s">
        <v>78</v>
      </c>
      <c r="BH52" t="s">
        <v>78</v>
      </c>
      <c r="BK52" t="s">
        <v>107</v>
      </c>
      <c r="BL52" t="s">
        <v>78</v>
      </c>
      <c r="BM52" t="s">
        <v>78</v>
      </c>
      <c r="BN52" t="s">
        <v>78</v>
      </c>
      <c r="BO52" t="s">
        <v>95</v>
      </c>
      <c r="BP52" t="s">
        <v>415</v>
      </c>
      <c r="BQ52" t="s">
        <v>416</v>
      </c>
      <c r="BR52" t="s">
        <v>138</v>
      </c>
      <c r="BS52" t="s">
        <v>417</v>
      </c>
      <c r="BT52" t="s">
        <v>112</v>
      </c>
      <c r="BU52" t="s">
        <v>412</v>
      </c>
      <c r="BV52" t="str">
        <f t="shared" si="0"/>
        <v>W45PDA</v>
      </c>
    </row>
    <row r="53" spans="1:74" x14ac:dyDescent="0.25">
      <c r="A53" t="s">
        <v>73</v>
      </c>
      <c r="B53" t="s">
        <v>74</v>
      </c>
      <c r="C53" t="s">
        <v>418</v>
      </c>
      <c r="D53" t="s">
        <v>419</v>
      </c>
      <c r="E53" t="s">
        <v>420</v>
      </c>
      <c r="G53" t="s">
        <v>676</v>
      </c>
      <c r="H53" t="s">
        <v>78</v>
      </c>
      <c r="I53" t="s">
        <v>102</v>
      </c>
      <c r="J53" t="s">
        <v>103</v>
      </c>
      <c r="K53" t="s">
        <v>104</v>
      </c>
      <c r="L53" t="s">
        <v>105</v>
      </c>
      <c r="N53" t="s">
        <v>106</v>
      </c>
      <c r="O53" t="s">
        <v>78</v>
      </c>
      <c r="P53" t="s">
        <v>91</v>
      </c>
      <c r="Q53" t="s">
        <v>78</v>
      </c>
      <c r="R53" t="s">
        <v>84</v>
      </c>
      <c r="S53" t="s">
        <v>78</v>
      </c>
      <c r="T53" t="s">
        <v>84</v>
      </c>
      <c r="U53" t="s">
        <v>78</v>
      </c>
      <c r="V53" t="s">
        <v>91</v>
      </c>
      <c r="W53" t="s">
        <v>78</v>
      </c>
      <c r="X53" t="s">
        <v>78</v>
      </c>
      <c r="Y53" t="s">
        <v>102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H53" t="s">
        <v>78</v>
      </c>
      <c r="AM53" t="s">
        <v>78</v>
      </c>
      <c r="AN53" t="s">
        <v>78</v>
      </c>
      <c r="AQ53" t="s">
        <v>78</v>
      </c>
      <c r="AR53" t="s">
        <v>78</v>
      </c>
      <c r="AW53" t="s">
        <v>78</v>
      </c>
      <c r="AX53" t="s">
        <v>102</v>
      </c>
      <c r="AY53" t="s">
        <v>78</v>
      </c>
      <c r="AZ53" t="s">
        <v>78</v>
      </c>
      <c r="BA53" t="s">
        <v>92</v>
      </c>
      <c r="BB53" t="s">
        <v>92</v>
      </c>
      <c r="BC53" t="s">
        <v>78</v>
      </c>
      <c r="BE53" t="s">
        <v>78</v>
      </c>
      <c r="BH53" t="s">
        <v>78</v>
      </c>
      <c r="BK53" t="s">
        <v>107</v>
      </c>
      <c r="BL53" t="s">
        <v>78</v>
      </c>
      <c r="BM53" t="s">
        <v>78</v>
      </c>
      <c r="BN53" t="s">
        <v>78</v>
      </c>
      <c r="BO53" t="s">
        <v>95</v>
      </c>
      <c r="BP53" t="s">
        <v>421</v>
      </c>
      <c r="BQ53" t="s">
        <v>422</v>
      </c>
      <c r="BR53" t="s">
        <v>138</v>
      </c>
      <c r="BS53" t="s">
        <v>423</v>
      </c>
      <c r="BT53" t="s">
        <v>112</v>
      </c>
      <c r="BU53" t="s">
        <v>418</v>
      </c>
      <c r="BV53" t="str">
        <f t="shared" si="0"/>
        <v>W45PDA</v>
      </c>
    </row>
    <row r="54" spans="1:74" x14ac:dyDescent="0.25">
      <c r="A54" t="s">
        <v>73</v>
      </c>
      <c r="B54" t="s">
        <v>74</v>
      </c>
      <c r="C54" t="s">
        <v>424</v>
      </c>
      <c r="D54" t="s">
        <v>425</v>
      </c>
      <c r="E54" t="s">
        <v>426</v>
      </c>
      <c r="G54" t="s">
        <v>677</v>
      </c>
      <c r="H54" t="s">
        <v>78</v>
      </c>
      <c r="I54" t="s">
        <v>102</v>
      </c>
      <c r="J54" t="s">
        <v>103</v>
      </c>
      <c r="K54" t="s">
        <v>135</v>
      </c>
      <c r="L54" t="s">
        <v>105</v>
      </c>
      <c r="N54" t="s">
        <v>106</v>
      </c>
      <c r="O54" t="s">
        <v>78</v>
      </c>
      <c r="P54" t="s">
        <v>91</v>
      </c>
      <c r="Q54" t="s">
        <v>78</v>
      </c>
      <c r="R54" t="s">
        <v>84</v>
      </c>
      <c r="S54" t="s">
        <v>78</v>
      </c>
      <c r="T54" t="s">
        <v>84</v>
      </c>
      <c r="U54" t="s">
        <v>78</v>
      </c>
      <c r="V54" t="s">
        <v>91</v>
      </c>
      <c r="W54" t="s">
        <v>78</v>
      </c>
      <c r="X54" t="s">
        <v>78</v>
      </c>
      <c r="Y54" t="s">
        <v>102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H54" t="s">
        <v>78</v>
      </c>
      <c r="AM54" t="s">
        <v>78</v>
      </c>
      <c r="AN54" t="s">
        <v>78</v>
      </c>
      <c r="AQ54" t="s">
        <v>78</v>
      </c>
      <c r="AR54" t="s">
        <v>78</v>
      </c>
      <c r="AV54" t="s">
        <v>136</v>
      </c>
      <c r="AW54" t="s">
        <v>89</v>
      </c>
      <c r="AX54" t="s">
        <v>102</v>
      </c>
      <c r="AY54" t="s">
        <v>78</v>
      </c>
      <c r="AZ54" t="s">
        <v>91</v>
      </c>
      <c r="BA54" t="s">
        <v>92</v>
      </c>
      <c r="BB54" t="s">
        <v>92</v>
      </c>
      <c r="BC54" t="s">
        <v>78</v>
      </c>
      <c r="BE54" t="s">
        <v>78</v>
      </c>
      <c r="BH54" t="s">
        <v>78</v>
      </c>
      <c r="BK54" t="s">
        <v>107</v>
      </c>
      <c r="BL54" t="s">
        <v>78</v>
      </c>
      <c r="BM54" t="s">
        <v>78</v>
      </c>
      <c r="BN54" t="s">
        <v>78</v>
      </c>
      <c r="BO54" t="s">
        <v>127</v>
      </c>
      <c r="BP54" t="s">
        <v>427</v>
      </c>
      <c r="BQ54" t="s">
        <v>428</v>
      </c>
      <c r="BR54" t="s">
        <v>138</v>
      </c>
      <c r="BS54" t="s">
        <v>429</v>
      </c>
      <c r="BT54" t="s">
        <v>112</v>
      </c>
      <c r="BU54" t="s">
        <v>424</v>
      </c>
      <c r="BV54" t="str">
        <f t="shared" si="0"/>
        <v>W40PDA</v>
      </c>
    </row>
    <row r="55" spans="1:74" x14ac:dyDescent="0.25">
      <c r="A55" t="s">
        <v>73</v>
      </c>
      <c r="B55" t="s">
        <v>74</v>
      </c>
      <c r="C55" t="s">
        <v>430</v>
      </c>
      <c r="D55" t="s">
        <v>431</v>
      </c>
      <c r="E55" t="s">
        <v>432</v>
      </c>
      <c r="G55" t="s">
        <v>677</v>
      </c>
      <c r="H55" t="s">
        <v>78</v>
      </c>
      <c r="I55" t="s">
        <v>90</v>
      </c>
      <c r="J55" t="s">
        <v>124</v>
      </c>
      <c r="K55" t="s">
        <v>152</v>
      </c>
      <c r="L55" t="s">
        <v>180</v>
      </c>
      <c r="N55" t="s">
        <v>126</v>
      </c>
      <c r="O55" t="s">
        <v>78</v>
      </c>
      <c r="P55" t="s">
        <v>91</v>
      </c>
      <c r="Q55" t="s">
        <v>78</v>
      </c>
      <c r="R55" t="s">
        <v>84</v>
      </c>
      <c r="S55" t="s">
        <v>78</v>
      </c>
      <c r="T55" t="s">
        <v>84</v>
      </c>
      <c r="U55" t="s">
        <v>78</v>
      </c>
      <c r="V55" t="s">
        <v>91</v>
      </c>
      <c r="W55" t="s">
        <v>84</v>
      </c>
      <c r="X55" t="s">
        <v>84</v>
      </c>
      <c r="Y55" t="s">
        <v>90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H55" t="s">
        <v>78</v>
      </c>
      <c r="AM55" t="s">
        <v>78</v>
      </c>
      <c r="AN55" t="s">
        <v>78</v>
      </c>
      <c r="AQ55" t="s">
        <v>78</v>
      </c>
      <c r="AR55" t="s">
        <v>78</v>
      </c>
      <c r="AV55" t="s">
        <v>144</v>
      </c>
      <c r="AW55" t="s">
        <v>89</v>
      </c>
      <c r="AX55" t="s">
        <v>90</v>
      </c>
      <c r="AY55" t="s">
        <v>78</v>
      </c>
      <c r="AZ55" t="s">
        <v>91</v>
      </c>
      <c r="BA55" t="s">
        <v>92</v>
      </c>
      <c r="BB55" t="s">
        <v>92</v>
      </c>
      <c r="BC55" t="s">
        <v>78</v>
      </c>
      <c r="BE55" t="s">
        <v>78</v>
      </c>
      <c r="BH55" t="s">
        <v>78</v>
      </c>
      <c r="BK55" t="s">
        <v>107</v>
      </c>
      <c r="BL55" t="s">
        <v>78</v>
      </c>
      <c r="BM55" t="s">
        <v>84</v>
      </c>
      <c r="BN55" t="s">
        <v>78</v>
      </c>
      <c r="BO55" t="s">
        <v>95</v>
      </c>
      <c r="BP55" t="s">
        <v>433</v>
      </c>
      <c r="BQ55" t="s">
        <v>434</v>
      </c>
      <c r="BR55" t="s">
        <v>435</v>
      </c>
      <c r="BS55" t="s">
        <v>436</v>
      </c>
      <c r="BT55" t="s">
        <v>170</v>
      </c>
      <c r="BU55" t="s">
        <v>430</v>
      </c>
      <c r="BV55" t="str">
        <f t="shared" si="0"/>
        <v>W40PDA</v>
      </c>
    </row>
    <row r="56" spans="1:74" x14ac:dyDescent="0.25">
      <c r="A56" t="s">
        <v>73</v>
      </c>
      <c r="B56" t="s">
        <v>74</v>
      </c>
      <c r="C56" t="s">
        <v>437</v>
      </c>
      <c r="D56" t="s">
        <v>438</v>
      </c>
      <c r="E56" t="s">
        <v>439</v>
      </c>
      <c r="G56" t="s">
        <v>677</v>
      </c>
      <c r="H56" t="s">
        <v>78</v>
      </c>
      <c r="I56" t="s">
        <v>102</v>
      </c>
      <c r="J56" t="s">
        <v>103</v>
      </c>
      <c r="K56" t="s">
        <v>135</v>
      </c>
      <c r="L56" t="s">
        <v>105</v>
      </c>
      <c r="N56" t="s">
        <v>106</v>
      </c>
      <c r="O56" t="s">
        <v>78</v>
      </c>
      <c r="P56" t="s">
        <v>91</v>
      </c>
      <c r="Q56" t="s">
        <v>78</v>
      </c>
      <c r="R56" t="s">
        <v>84</v>
      </c>
      <c r="S56" t="s">
        <v>78</v>
      </c>
      <c r="T56" t="s">
        <v>84</v>
      </c>
      <c r="U56" t="s">
        <v>78</v>
      </c>
      <c r="V56" t="s">
        <v>91</v>
      </c>
      <c r="W56" t="s">
        <v>78</v>
      </c>
      <c r="X56" t="s">
        <v>78</v>
      </c>
      <c r="Y56" t="s">
        <v>102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H56" t="s">
        <v>78</v>
      </c>
      <c r="AM56" t="s">
        <v>78</v>
      </c>
      <c r="AN56" t="s">
        <v>78</v>
      </c>
      <c r="AQ56" t="s">
        <v>78</v>
      </c>
      <c r="AR56" t="s">
        <v>78</v>
      </c>
      <c r="AV56" t="s">
        <v>136</v>
      </c>
      <c r="AW56" t="s">
        <v>89</v>
      </c>
      <c r="AX56" t="s">
        <v>102</v>
      </c>
      <c r="AY56" t="s">
        <v>78</v>
      </c>
      <c r="AZ56" t="s">
        <v>78</v>
      </c>
      <c r="BA56" t="s">
        <v>92</v>
      </c>
      <c r="BB56" t="s">
        <v>92</v>
      </c>
      <c r="BC56" t="s">
        <v>78</v>
      </c>
      <c r="BE56" t="s">
        <v>78</v>
      </c>
      <c r="BH56" t="s">
        <v>78</v>
      </c>
      <c r="BK56" t="s">
        <v>107</v>
      </c>
      <c r="BL56" t="s">
        <v>78</v>
      </c>
      <c r="BM56" t="s">
        <v>78</v>
      </c>
      <c r="BN56" t="s">
        <v>78</v>
      </c>
      <c r="BO56" t="s">
        <v>95</v>
      </c>
      <c r="BP56" t="s">
        <v>440</v>
      </c>
      <c r="BQ56" t="s">
        <v>441</v>
      </c>
      <c r="BR56" t="s">
        <v>442</v>
      </c>
      <c r="BS56" t="s">
        <v>443</v>
      </c>
      <c r="BT56" t="s">
        <v>170</v>
      </c>
      <c r="BU56" t="s">
        <v>437</v>
      </c>
      <c r="BV56" t="str">
        <f t="shared" si="0"/>
        <v>W40PDA</v>
      </c>
    </row>
    <row r="57" spans="1:74" x14ac:dyDescent="0.25">
      <c r="A57" t="s">
        <v>73</v>
      </c>
      <c r="B57" t="s">
        <v>74</v>
      </c>
      <c r="C57" t="s">
        <v>444</v>
      </c>
      <c r="D57" t="s">
        <v>445</v>
      </c>
      <c r="E57" t="s">
        <v>445</v>
      </c>
      <c r="G57" t="s">
        <v>677</v>
      </c>
      <c r="H57" t="s">
        <v>78</v>
      </c>
      <c r="I57" t="s">
        <v>90</v>
      </c>
      <c r="J57" t="s">
        <v>124</v>
      </c>
      <c r="K57" t="s">
        <v>152</v>
      </c>
      <c r="L57" t="s">
        <v>180</v>
      </c>
      <c r="N57" t="s">
        <v>126</v>
      </c>
      <c r="O57" t="s">
        <v>78</v>
      </c>
      <c r="P57" t="s">
        <v>91</v>
      </c>
      <c r="Q57" t="s">
        <v>78</v>
      </c>
      <c r="R57" t="s">
        <v>84</v>
      </c>
      <c r="S57" t="s">
        <v>78</v>
      </c>
      <c r="T57" t="s">
        <v>84</v>
      </c>
      <c r="U57" t="s">
        <v>78</v>
      </c>
      <c r="V57" t="s">
        <v>91</v>
      </c>
      <c r="W57" t="s">
        <v>84</v>
      </c>
      <c r="X57" t="s">
        <v>84</v>
      </c>
      <c r="Y57" t="s">
        <v>90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H57" t="s">
        <v>78</v>
      </c>
      <c r="AM57" t="s">
        <v>78</v>
      </c>
      <c r="AN57" t="s">
        <v>78</v>
      </c>
      <c r="AQ57" t="s">
        <v>78</v>
      </c>
      <c r="AR57" t="s">
        <v>78</v>
      </c>
      <c r="AV57" t="s">
        <v>144</v>
      </c>
      <c r="AW57" t="s">
        <v>89</v>
      </c>
      <c r="AX57" t="s">
        <v>90</v>
      </c>
      <c r="AY57" t="s">
        <v>78</v>
      </c>
      <c r="AZ57" t="s">
        <v>91</v>
      </c>
      <c r="BA57" t="s">
        <v>92</v>
      </c>
      <c r="BB57" t="s">
        <v>92</v>
      </c>
      <c r="BC57" t="s">
        <v>78</v>
      </c>
      <c r="BE57" t="s">
        <v>78</v>
      </c>
      <c r="BH57" t="s">
        <v>78</v>
      </c>
      <c r="BK57" t="s">
        <v>107</v>
      </c>
      <c r="BL57" t="s">
        <v>78</v>
      </c>
      <c r="BM57" t="s">
        <v>84</v>
      </c>
      <c r="BN57" t="s">
        <v>78</v>
      </c>
      <c r="BO57" t="s">
        <v>95</v>
      </c>
      <c r="BP57" t="s">
        <v>435</v>
      </c>
      <c r="BQ57" t="s">
        <v>446</v>
      </c>
      <c r="BR57" t="s">
        <v>435</v>
      </c>
      <c r="BS57" t="s">
        <v>436</v>
      </c>
      <c r="BT57" t="s">
        <v>170</v>
      </c>
      <c r="BU57" t="s">
        <v>444</v>
      </c>
      <c r="BV57" t="str">
        <f t="shared" si="0"/>
        <v>W40PDA</v>
      </c>
    </row>
    <row r="58" spans="1:74" x14ac:dyDescent="0.25">
      <c r="A58" t="s">
        <v>73</v>
      </c>
      <c r="B58" t="s">
        <v>74</v>
      </c>
      <c r="C58" t="s">
        <v>447</v>
      </c>
      <c r="D58" t="s">
        <v>448</v>
      </c>
      <c r="E58" t="s">
        <v>449</v>
      </c>
      <c r="G58" t="s">
        <v>676</v>
      </c>
      <c r="H58" t="s">
        <v>78</v>
      </c>
      <c r="I58" t="s">
        <v>79</v>
      </c>
      <c r="J58" t="s">
        <v>450</v>
      </c>
      <c r="K58" t="s">
        <v>451</v>
      </c>
      <c r="L58" t="s">
        <v>180</v>
      </c>
      <c r="N58" t="s">
        <v>83</v>
      </c>
      <c r="O58" t="s">
        <v>78</v>
      </c>
      <c r="P58" t="s">
        <v>84</v>
      </c>
      <c r="Q58" t="s">
        <v>78</v>
      </c>
      <c r="R58" t="s">
        <v>84</v>
      </c>
      <c r="S58" t="s">
        <v>78</v>
      </c>
      <c r="T58" t="s">
        <v>84</v>
      </c>
      <c r="U58" t="s">
        <v>78</v>
      </c>
      <c r="V58" t="s">
        <v>91</v>
      </c>
      <c r="W58" t="s">
        <v>452</v>
      </c>
      <c r="X58" t="s">
        <v>453</v>
      </c>
      <c r="Y58" t="s">
        <v>79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H58" t="s">
        <v>78</v>
      </c>
      <c r="AL58" t="s">
        <v>454</v>
      </c>
      <c r="AM58" t="s">
        <v>78</v>
      </c>
      <c r="AN58" t="s">
        <v>78</v>
      </c>
      <c r="AQ58" t="s">
        <v>78</v>
      </c>
      <c r="AR58" t="s">
        <v>78</v>
      </c>
      <c r="AT58" t="s">
        <v>455</v>
      </c>
      <c r="AV58" t="s">
        <v>384</v>
      </c>
      <c r="AW58" t="s">
        <v>89</v>
      </c>
      <c r="AX58" t="s">
        <v>79</v>
      </c>
      <c r="AY58" t="s">
        <v>84</v>
      </c>
      <c r="AZ58" t="s">
        <v>91</v>
      </c>
      <c r="BA58" t="s">
        <v>91</v>
      </c>
      <c r="BB58" t="s">
        <v>92</v>
      </c>
      <c r="BC58" t="s">
        <v>78</v>
      </c>
      <c r="BE58" t="s">
        <v>78</v>
      </c>
      <c r="BF58" t="s">
        <v>456</v>
      </c>
      <c r="BG58" t="s">
        <v>457</v>
      </c>
      <c r="BH58" t="s">
        <v>78</v>
      </c>
      <c r="BK58" t="s">
        <v>107</v>
      </c>
      <c r="BL58" t="s">
        <v>78</v>
      </c>
      <c r="BM58" t="s">
        <v>84</v>
      </c>
      <c r="BN58" t="s">
        <v>78</v>
      </c>
      <c r="BO58" t="s">
        <v>95</v>
      </c>
      <c r="BP58" t="s">
        <v>458</v>
      </c>
      <c r="BQ58" t="s">
        <v>459</v>
      </c>
      <c r="BR58" t="s">
        <v>460</v>
      </c>
      <c r="BS58" t="s">
        <v>461</v>
      </c>
      <c r="BT58" t="s">
        <v>98</v>
      </c>
      <c r="BU58" t="s">
        <v>447</v>
      </c>
      <c r="BV58" t="str">
        <f t="shared" si="0"/>
        <v>W45PDA</v>
      </c>
    </row>
    <row r="59" spans="1:74" x14ac:dyDescent="0.25">
      <c r="A59" t="s">
        <v>73</v>
      </c>
      <c r="B59" t="s">
        <v>74</v>
      </c>
      <c r="C59" t="s">
        <v>462</v>
      </c>
      <c r="D59" t="s">
        <v>463</v>
      </c>
      <c r="E59" t="s">
        <v>464</v>
      </c>
      <c r="G59" t="s">
        <v>677</v>
      </c>
      <c r="H59" t="s">
        <v>78</v>
      </c>
      <c r="I59" t="s">
        <v>90</v>
      </c>
      <c r="J59" t="s">
        <v>124</v>
      </c>
      <c r="K59" t="s">
        <v>125</v>
      </c>
      <c r="L59" t="s">
        <v>143</v>
      </c>
      <c r="N59" t="s">
        <v>126</v>
      </c>
      <c r="O59" t="s">
        <v>78</v>
      </c>
      <c r="P59" t="s">
        <v>91</v>
      </c>
      <c r="Q59" t="s">
        <v>78</v>
      </c>
      <c r="R59" t="s">
        <v>84</v>
      </c>
      <c r="S59" t="s">
        <v>78</v>
      </c>
      <c r="T59" t="s">
        <v>84</v>
      </c>
      <c r="U59" t="s">
        <v>78</v>
      </c>
      <c r="V59" t="s">
        <v>91</v>
      </c>
      <c r="W59" t="s">
        <v>84</v>
      </c>
      <c r="X59" t="s">
        <v>84</v>
      </c>
      <c r="Y59" t="s">
        <v>90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H59" t="s">
        <v>78</v>
      </c>
      <c r="AM59" t="s">
        <v>78</v>
      </c>
      <c r="AN59" t="s">
        <v>78</v>
      </c>
      <c r="AQ59" t="s">
        <v>78</v>
      </c>
      <c r="AR59" t="s">
        <v>78</v>
      </c>
      <c r="AV59" t="s">
        <v>144</v>
      </c>
      <c r="AW59" t="s">
        <v>89</v>
      </c>
      <c r="AX59" t="s">
        <v>90</v>
      </c>
      <c r="AY59" t="s">
        <v>78</v>
      </c>
      <c r="AZ59" t="s">
        <v>91</v>
      </c>
      <c r="BA59" t="s">
        <v>92</v>
      </c>
      <c r="BB59" t="s">
        <v>92</v>
      </c>
      <c r="BC59" t="s">
        <v>78</v>
      </c>
      <c r="BE59" t="s">
        <v>78</v>
      </c>
      <c r="BH59" t="s">
        <v>78</v>
      </c>
      <c r="BK59" t="s">
        <v>107</v>
      </c>
      <c r="BL59" t="s">
        <v>78</v>
      </c>
      <c r="BM59" t="s">
        <v>78</v>
      </c>
      <c r="BN59" t="s">
        <v>78</v>
      </c>
      <c r="BO59" t="s">
        <v>127</v>
      </c>
      <c r="BP59" t="s">
        <v>458</v>
      </c>
      <c r="BQ59" t="s">
        <v>465</v>
      </c>
      <c r="BR59" t="s">
        <v>252</v>
      </c>
      <c r="BS59" t="s">
        <v>466</v>
      </c>
      <c r="BT59" t="s">
        <v>170</v>
      </c>
      <c r="BU59" t="s">
        <v>462</v>
      </c>
      <c r="BV59" t="str">
        <f t="shared" si="0"/>
        <v>W40PDA</v>
      </c>
    </row>
    <row r="60" spans="1:74" x14ac:dyDescent="0.25">
      <c r="A60" t="s">
        <v>73</v>
      </c>
      <c r="B60" t="s">
        <v>74</v>
      </c>
      <c r="C60" t="s">
        <v>467</v>
      </c>
      <c r="D60" t="s">
        <v>468</v>
      </c>
      <c r="E60" t="s">
        <v>469</v>
      </c>
      <c r="G60" t="s">
        <v>676</v>
      </c>
      <c r="H60" t="s">
        <v>78</v>
      </c>
      <c r="I60" t="s">
        <v>90</v>
      </c>
      <c r="J60" t="s">
        <v>124</v>
      </c>
      <c r="K60" t="s">
        <v>152</v>
      </c>
      <c r="L60" t="s">
        <v>143</v>
      </c>
      <c r="N60" t="s">
        <v>126</v>
      </c>
      <c r="O60" t="s">
        <v>78</v>
      </c>
      <c r="P60" t="s">
        <v>91</v>
      </c>
      <c r="Q60" t="s">
        <v>78</v>
      </c>
      <c r="R60" t="s">
        <v>84</v>
      </c>
      <c r="S60" t="s">
        <v>78</v>
      </c>
      <c r="T60" t="s">
        <v>84</v>
      </c>
      <c r="U60" t="s">
        <v>78</v>
      </c>
      <c r="V60" t="s">
        <v>91</v>
      </c>
      <c r="W60" t="s">
        <v>84</v>
      </c>
      <c r="X60" t="s">
        <v>84</v>
      </c>
      <c r="Y60" t="s">
        <v>90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H60" t="s">
        <v>78</v>
      </c>
      <c r="AM60" t="s">
        <v>78</v>
      </c>
      <c r="AN60" t="s">
        <v>78</v>
      </c>
      <c r="AQ60" t="s">
        <v>78</v>
      </c>
      <c r="AR60" t="s">
        <v>78</v>
      </c>
      <c r="AV60" t="s">
        <v>153</v>
      </c>
      <c r="AW60" t="s">
        <v>89</v>
      </c>
      <c r="AX60" t="s">
        <v>90</v>
      </c>
      <c r="AY60" t="s">
        <v>78</v>
      </c>
      <c r="AZ60" t="s">
        <v>91</v>
      </c>
      <c r="BA60" t="s">
        <v>92</v>
      </c>
      <c r="BB60" t="s">
        <v>92</v>
      </c>
      <c r="BC60" t="s">
        <v>78</v>
      </c>
      <c r="BE60" t="s">
        <v>78</v>
      </c>
      <c r="BH60" t="s">
        <v>78</v>
      </c>
      <c r="BK60" t="s">
        <v>107</v>
      </c>
      <c r="BL60" t="s">
        <v>78</v>
      </c>
      <c r="BM60" t="s">
        <v>84</v>
      </c>
      <c r="BN60" t="s">
        <v>78</v>
      </c>
      <c r="BO60" t="s">
        <v>95</v>
      </c>
      <c r="BP60" t="s">
        <v>470</v>
      </c>
      <c r="BQ60" t="s">
        <v>471</v>
      </c>
      <c r="BR60" t="s">
        <v>187</v>
      </c>
      <c r="BS60" t="s">
        <v>472</v>
      </c>
      <c r="BT60" t="s">
        <v>112</v>
      </c>
      <c r="BU60" t="s">
        <v>467</v>
      </c>
      <c r="BV60" t="str">
        <f t="shared" si="0"/>
        <v>W45PDA</v>
      </c>
    </row>
    <row r="61" spans="1:74" x14ac:dyDescent="0.25">
      <c r="A61" t="s">
        <v>73</v>
      </c>
      <c r="B61" t="s">
        <v>74</v>
      </c>
      <c r="C61" t="s">
        <v>473</v>
      </c>
      <c r="D61" t="s">
        <v>474</v>
      </c>
      <c r="G61" t="s">
        <v>677</v>
      </c>
      <c r="H61" t="s">
        <v>78</v>
      </c>
      <c r="I61" t="s">
        <v>90</v>
      </c>
      <c r="J61" t="s">
        <v>124</v>
      </c>
      <c r="K61" t="s">
        <v>152</v>
      </c>
      <c r="L61" t="s">
        <v>82</v>
      </c>
      <c r="N61" t="s">
        <v>126</v>
      </c>
      <c r="O61" t="s">
        <v>78</v>
      </c>
      <c r="P61" t="s">
        <v>91</v>
      </c>
      <c r="Q61" t="s">
        <v>78</v>
      </c>
      <c r="R61" t="s">
        <v>84</v>
      </c>
      <c r="S61" t="s">
        <v>78</v>
      </c>
      <c r="T61" t="s">
        <v>84</v>
      </c>
      <c r="U61" t="s">
        <v>78</v>
      </c>
      <c r="V61" t="s">
        <v>91</v>
      </c>
      <c r="W61" t="s">
        <v>84</v>
      </c>
      <c r="X61" t="s">
        <v>84</v>
      </c>
      <c r="Y61" t="s">
        <v>90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H61" t="s">
        <v>78</v>
      </c>
      <c r="AM61" t="s">
        <v>78</v>
      </c>
      <c r="AN61" t="s">
        <v>78</v>
      </c>
      <c r="AQ61" t="s">
        <v>78</v>
      </c>
      <c r="AR61" t="s">
        <v>78</v>
      </c>
      <c r="AV61" t="s">
        <v>144</v>
      </c>
      <c r="AW61" t="s">
        <v>89</v>
      </c>
      <c r="AX61" t="s">
        <v>90</v>
      </c>
      <c r="AY61" t="s">
        <v>78</v>
      </c>
      <c r="AZ61" t="s">
        <v>91</v>
      </c>
      <c r="BA61" t="s">
        <v>92</v>
      </c>
      <c r="BB61" t="s">
        <v>92</v>
      </c>
      <c r="BC61" t="s">
        <v>78</v>
      </c>
      <c r="BE61" t="s">
        <v>78</v>
      </c>
      <c r="BH61" t="s">
        <v>78</v>
      </c>
      <c r="BK61" t="s">
        <v>107</v>
      </c>
      <c r="BL61" t="s">
        <v>78</v>
      </c>
      <c r="BM61" t="s">
        <v>84</v>
      </c>
      <c r="BN61" t="s">
        <v>78</v>
      </c>
      <c r="BO61" t="s">
        <v>95</v>
      </c>
      <c r="BP61" t="s">
        <v>475</v>
      </c>
      <c r="BQ61" t="s">
        <v>476</v>
      </c>
      <c r="BR61" t="s">
        <v>187</v>
      </c>
      <c r="BS61" t="s">
        <v>477</v>
      </c>
      <c r="BT61" t="s">
        <v>112</v>
      </c>
      <c r="BU61" t="s">
        <v>473</v>
      </c>
      <c r="BV61" t="str">
        <f t="shared" si="0"/>
        <v>W40PDA</v>
      </c>
    </row>
    <row r="62" spans="1:74" x14ac:dyDescent="0.25">
      <c r="A62" t="s">
        <v>73</v>
      </c>
      <c r="B62" t="s">
        <v>74</v>
      </c>
      <c r="C62" t="s">
        <v>478</v>
      </c>
      <c r="D62" t="s">
        <v>479</v>
      </c>
      <c r="E62" t="s">
        <v>404</v>
      </c>
      <c r="G62" t="s">
        <v>677</v>
      </c>
      <c r="H62" t="s">
        <v>78</v>
      </c>
      <c r="I62" t="s">
        <v>90</v>
      </c>
      <c r="J62" t="s">
        <v>124</v>
      </c>
      <c r="K62" t="s">
        <v>125</v>
      </c>
      <c r="L62" t="s">
        <v>143</v>
      </c>
      <c r="N62" t="s">
        <v>126</v>
      </c>
      <c r="O62" t="s">
        <v>78</v>
      </c>
      <c r="P62" t="s">
        <v>91</v>
      </c>
      <c r="Q62" t="s">
        <v>78</v>
      </c>
      <c r="R62" t="s">
        <v>84</v>
      </c>
      <c r="S62" t="s">
        <v>78</v>
      </c>
      <c r="T62" t="s">
        <v>84</v>
      </c>
      <c r="U62" t="s">
        <v>78</v>
      </c>
      <c r="V62" t="s">
        <v>91</v>
      </c>
      <c r="W62" t="s">
        <v>84</v>
      </c>
      <c r="X62" t="s">
        <v>84</v>
      </c>
      <c r="Y62" t="s">
        <v>90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H62" t="s">
        <v>78</v>
      </c>
      <c r="AM62" t="s">
        <v>78</v>
      </c>
      <c r="AN62" t="s">
        <v>78</v>
      </c>
      <c r="AQ62" t="s">
        <v>78</v>
      </c>
      <c r="AR62" t="s">
        <v>78</v>
      </c>
      <c r="AV62" t="s">
        <v>144</v>
      </c>
      <c r="AW62" t="s">
        <v>89</v>
      </c>
      <c r="AX62" t="s">
        <v>90</v>
      </c>
      <c r="AY62" t="s">
        <v>78</v>
      </c>
      <c r="AZ62" t="s">
        <v>91</v>
      </c>
      <c r="BA62" t="s">
        <v>92</v>
      </c>
      <c r="BB62" t="s">
        <v>92</v>
      </c>
      <c r="BC62" t="s">
        <v>78</v>
      </c>
      <c r="BE62" t="s">
        <v>78</v>
      </c>
      <c r="BH62" t="s">
        <v>78</v>
      </c>
      <c r="BK62" t="s">
        <v>107</v>
      </c>
      <c r="BL62" t="s">
        <v>78</v>
      </c>
      <c r="BM62" t="s">
        <v>78</v>
      </c>
      <c r="BN62" t="s">
        <v>78</v>
      </c>
      <c r="BO62" t="s">
        <v>127</v>
      </c>
      <c r="BP62" t="s">
        <v>480</v>
      </c>
      <c r="BQ62" t="s">
        <v>481</v>
      </c>
      <c r="BR62" t="s">
        <v>252</v>
      </c>
      <c r="BS62" t="s">
        <v>482</v>
      </c>
      <c r="BT62" t="s">
        <v>170</v>
      </c>
      <c r="BU62" t="s">
        <v>478</v>
      </c>
      <c r="BV62" t="str">
        <f t="shared" si="0"/>
        <v>W40PDA</v>
      </c>
    </row>
    <row r="63" spans="1:74" x14ac:dyDescent="0.25">
      <c r="A63" t="s">
        <v>73</v>
      </c>
      <c r="B63" t="s">
        <v>74</v>
      </c>
      <c r="C63" t="s">
        <v>483</v>
      </c>
      <c r="D63" t="s">
        <v>484</v>
      </c>
      <c r="E63" t="s">
        <v>485</v>
      </c>
      <c r="G63" t="s">
        <v>676</v>
      </c>
      <c r="H63" t="s">
        <v>78</v>
      </c>
      <c r="I63" t="s">
        <v>90</v>
      </c>
      <c r="J63" t="s">
        <v>124</v>
      </c>
      <c r="K63" t="s">
        <v>152</v>
      </c>
      <c r="L63" t="s">
        <v>82</v>
      </c>
      <c r="N63" t="s">
        <v>126</v>
      </c>
      <c r="O63" t="s">
        <v>78</v>
      </c>
      <c r="P63" t="s">
        <v>91</v>
      </c>
      <c r="Q63" t="s">
        <v>78</v>
      </c>
      <c r="R63" t="s">
        <v>84</v>
      </c>
      <c r="S63" t="s">
        <v>78</v>
      </c>
      <c r="T63" t="s">
        <v>84</v>
      </c>
      <c r="U63" t="s">
        <v>78</v>
      </c>
      <c r="V63" t="s">
        <v>91</v>
      </c>
      <c r="W63" t="s">
        <v>84</v>
      </c>
      <c r="X63" t="s">
        <v>84</v>
      </c>
      <c r="Y63" t="s">
        <v>90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H63" t="s">
        <v>78</v>
      </c>
      <c r="AM63" t="s">
        <v>78</v>
      </c>
      <c r="AN63" t="s">
        <v>78</v>
      </c>
      <c r="AQ63" t="s">
        <v>78</v>
      </c>
      <c r="AR63" t="s">
        <v>78</v>
      </c>
      <c r="AV63" t="s">
        <v>153</v>
      </c>
      <c r="AW63" t="s">
        <v>89</v>
      </c>
      <c r="AX63" t="s">
        <v>90</v>
      </c>
      <c r="AY63" t="s">
        <v>78</v>
      </c>
      <c r="AZ63" t="s">
        <v>91</v>
      </c>
      <c r="BA63" t="s">
        <v>92</v>
      </c>
      <c r="BB63" t="s">
        <v>92</v>
      </c>
      <c r="BC63" t="s">
        <v>78</v>
      </c>
      <c r="BE63" t="s">
        <v>78</v>
      </c>
      <c r="BH63" t="s">
        <v>78</v>
      </c>
      <c r="BK63" t="s">
        <v>107</v>
      </c>
      <c r="BL63" t="s">
        <v>78</v>
      </c>
      <c r="BM63" t="s">
        <v>84</v>
      </c>
      <c r="BN63" t="s">
        <v>78</v>
      </c>
      <c r="BO63" t="s">
        <v>95</v>
      </c>
      <c r="BP63" t="s">
        <v>486</v>
      </c>
      <c r="BQ63" t="s">
        <v>487</v>
      </c>
      <c r="BR63" t="s">
        <v>187</v>
      </c>
      <c r="BS63" t="s">
        <v>472</v>
      </c>
      <c r="BT63" t="s">
        <v>112</v>
      </c>
      <c r="BU63" t="s">
        <v>483</v>
      </c>
      <c r="BV63" t="str">
        <f t="shared" si="0"/>
        <v>W45PDA</v>
      </c>
    </row>
    <row r="64" spans="1:74" x14ac:dyDescent="0.25">
      <c r="A64" t="s">
        <v>73</v>
      </c>
      <c r="B64" t="s">
        <v>74</v>
      </c>
      <c r="C64" t="s">
        <v>488</v>
      </c>
      <c r="D64" t="s">
        <v>489</v>
      </c>
      <c r="E64" t="s">
        <v>490</v>
      </c>
      <c r="G64" t="s">
        <v>677</v>
      </c>
      <c r="H64" t="s">
        <v>78</v>
      </c>
      <c r="I64" t="s">
        <v>79</v>
      </c>
      <c r="J64" t="s">
        <v>135</v>
      </c>
      <c r="K64" t="s">
        <v>491</v>
      </c>
      <c r="L64" t="s">
        <v>82</v>
      </c>
      <c r="M64" t="s">
        <v>492</v>
      </c>
      <c r="N64" t="s">
        <v>83</v>
      </c>
      <c r="O64" t="s">
        <v>78</v>
      </c>
      <c r="P64" t="s">
        <v>84</v>
      </c>
      <c r="Q64" t="s">
        <v>78</v>
      </c>
      <c r="R64" t="s">
        <v>84</v>
      </c>
      <c r="S64" t="s">
        <v>78</v>
      </c>
      <c r="T64" t="s">
        <v>84</v>
      </c>
      <c r="U64" t="s">
        <v>78</v>
      </c>
      <c r="V64" t="s">
        <v>78</v>
      </c>
      <c r="W64" t="s">
        <v>78</v>
      </c>
      <c r="X64" t="s">
        <v>78</v>
      </c>
      <c r="Y64" t="s">
        <v>493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H64" t="s">
        <v>78</v>
      </c>
      <c r="AL64" t="s">
        <v>86</v>
      </c>
      <c r="AM64" t="s">
        <v>78</v>
      </c>
      <c r="AN64" t="s">
        <v>78</v>
      </c>
      <c r="AQ64" t="s">
        <v>78</v>
      </c>
      <c r="AR64" t="s">
        <v>78</v>
      </c>
      <c r="AT64" t="s">
        <v>494</v>
      </c>
      <c r="AV64" t="s">
        <v>384</v>
      </c>
      <c r="AW64" t="s">
        <v>89</v>
      </c>
      <c r="AX64" t="s">
        <v>493</v>
      </c>
      <c r="AY64" t="s">
        <v>84</v>
      </c>
      <c r="AZ64" t="s">
        <v>91</v>
      </c>
      <c r="BA64" t="s">
        <v>91</v>
      </c>
      <c r="BB64" t="s">
        <v>92</v>
      </c>
      <c r="BC64" t="s">
        <v>78</v>
      </c>
      <c r="BE64" t="s">
        <v>78</v>
      </c>
      <c r="BH64" t="s">
        <v>78</v>
      </c>
      <c r="BK64" t="s">
        <v>107</v>
      </c>
      <c r="BL64" t="s">
        <v>78</v>
      </c>
      <c r="BM64" t="s">
        <v>84</v>
      </c>
      <c r="BN64" t="s">
        <v>78</v>
      </c>
      <c r="BO64" t="s">
        <v>95</v>
      </c>
      <c r="BP64" t="s">
        <v>495</v>
      </c>
      <c r="BQ64" t="s">
        <v>496</v>
      </c>
      <c r="BR64" t="s">
        <v>497</v>
      </c>
      <c r="BS64" t="s">
        <v>498</v>
      </c>
      <c r="BT64" t="s">
        <v>170</v>
      </c>
      <c r="BU64" t="s">
        <v>488</v>
      </c>
      <c r="BV64" t="str">
        <f t="shared" si="0"/>
        <v>W40PDA</v>
      </c>
    </row>
    <row r="65" spans="1:74" x14ac:dyDescent="0.25">
      <c r="A65" t="s">
        <v>73</v>
      </c>
      <c r="B65" t="s">
        <v>74</v>
      </c>
      <c r="C65" t="s">
        <v>499</v>
      </c>
      <c r="D65" t="s">
        <v>500</v>
      </c>
      <c r="G65" t="s">
        <v>677</v>
      </c>
      <c r="H65" t="s">
        <v>78</v>
      </c>
      <c r="I65" t="s">
        <v>79</v>
      </c>
      <c r="J65" t="s">
        <v>501</v>
      </c>
      <c r="K65" t="s">
        <v>502</v>
      </c>
      <c r="L65" t="s">
        <v>180</v>
      </c>
      <c r="N65" t="s">
        <v>83</v>
      </c>
      <c r="O65" t="s">
        <v>78</v>
      </c>
      <c r="P65" t="s">
        <v>84</v>
      </c>
      <c r="Q65" t="s">
        <v>78</v>
      </c>
      <c r="R65" t="s">
        <v>84</v>
      </c>
      <c r="S65" t="s">
        <v>78</v>
      </c>
      <c r="T65" t="s">
        <v>84</v>
      </c>
      <c r="U65" t="s">
        <v>78</v>
      </c>
      <c r="V65" t="s">
        <v>91</v>
      </c>
      <c r="W65" t="s">
        <v>85</v>
      </c>
      <c r="X65" t="s">
        <v>503</v>
      </c>
      <c r="Y65" t="s">
        <v>79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504</v>
      </c>
      <c r="AH65" t="s">
        <v>78</v>
      </c>
      <c r="AL65" t="s">
        <v>505</v>
      </c>
      <c r="AM65" t="s">
        <v>78</v>
      </c>
      <c r="AN65" t="s">
        <v>78</v>
      </c>
      <c r="AQ65" t="s">
        <v>78</v>
      </c>
      <c r="AR65" t="s">
        <v>78</v>
      </c>
      <c r="AT65" t="s">
        <v>455</v>
      </c>
      <c r="AV65" t="s">
        <v>384</v>
      </c>
      <c r="AW65" t="s">
        <v>89</v>
      </c>
      <c r="AX65" t="s">
        <v>79</v>
      </c>
      <c r="AY65" t="s">
        <v>84</v>
      </c>
      <c r="AZ65" t="s">
        <v>91</v>
      </c>
      <c r="BA65" t="s">
        <v>91</v>
      </c>
      <c r="BB65" t="s">
        <v>92</v>
      </c>
      <c r="BC65" t="s">
        <v>78</v>
      </c>
      <c r="BE65" t="s">
        <v>78</v>
      </c>
      <c r="BG65" t="s">
        <v>506</v>
      </c>
      <c r="BH65" t="s">
        <v>78</v>
      </c>
      <c r="BK65" t="s">
        <v>107</v>
      </c>
      <c r="BL65" t="s">
        <v>78</v>
      </c>
      <c r="BM65" t="s">
        <v>84</v>
      </c>
      <c r="BN65" t="s">
        <v>78</v>
      </c>
      <c r="BO65" t="s">
        <v>95</v>
      </c>
      <c r="BP65" t="s">
        <v>507</v>
      </c>
      <c r="BQ65" t="s">
        <v>508</v>
      </c>
      <c r="BR65" t="s">
        <v>509</v>
      </c>
      <c r="BS65" t="s">
        <v>291</v>
      </c>
      <c r="BT65" t="s">
        <v>170</v>
      </c>
      <c r="BU65" t="s">
        <v>499</v>
      </c>
      <c r="BV65" t="str">
        <f t="shared" si="0"/>
        <v>W40PDA</v>
      </c>
    </row>
    <row r="66" spans="1:74" x14ac:dyDescent="0.25">
      <c r="A66" t="s">
        <v>73</v>
      </c>
      <c r="B66" t="s">
        <v>74</v>
      </c>
      <c r="C66" t="s">
        <v>510</v>
      </c>
      <c r="D66" t="s">
        <v>511</v>
      </c>
      <c r="E66" t="s">
        <v>512</v>
      </c>
      <c r="G66" t="s">
        <v>677</v>
      </c>
      <c r="H66" t="s">
        <v>78</v>
      </c>
      <c r="I66" t="s">
        <v>102</v>
      </c>
      <c r="J66" t="s">
        <v>103</v>
      </c>
      <c r="K66" t="s">
        <v>104</v>
      </c>
      <c r="L66" t="s">
        <v>105</v>
      </c>
      <c r="N66" t="s">
        <v>106</v>
      </c>
      <c r="O66" t="s">
        <v>78</v>
      </c>
      <c r="P66" t="s">
        <v>91</v>
      </c>
      <c r="Q66" t="s">
        <v>78</v>
      </c>
      <c r="R66" t="s">
        <v>84</v>
      </c>
      <c r="S66" t="s">
        <v>78</v>
      </c>
      <c r="T66" t="s">
        <v>84</v>
      </c>
      <c r="U66" t="s">
        <v>78</v>
      </c>
      <c r="V66" t="s">
        <v>91</v>
      </c>
      <c r="W66" t="s">
        <v>78</v>
      </c>
      <c r="X66" t="s">
        <v>78</v>
      </c>
      <c r="Y66" t="s">
        <v>102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H66" t="s">
        <v>78</v>
      </c>
      <c r="AM66" t="s">
        <v>78</v>
      </c>
      <c r="AN66" t="s">
        <v>78</v>
      </c>
      <c r="AQ66" t="s">
        <v>78</v>
      </c>
      <c r="AR66" t="s">
        <v>78</v>
      </c>
      <c r="AW66" t="s">
        <v>78</v>
      </c>
      <c r="AX66" t="s">
        <v>102</v>
      </c>
      <c r="AY66" t="s">
        <v>78</v>
      </c>
      <c r="AZ66" t="s">
        <v>78</v>
      </c>
      <c r="BA66" t="s">
        <v>92</v>
      </c>
      <c r="BB66" t="s">
        <v>92</v>
      </c>
      <c r="BC66" t="s">
        <v>78</v>
      </c>
      <c r="BE66" t="s">
        <v>78</v>
      </c>
      <c r="BH66" t="s">
        <v>78</v>
      </c>
      <c r="BK66" t="s">
        <v>107</v>
      </c>
      <c r="BL66" t="s">
        <v>78</v>
      </c>
      <c r="BM66" t="s">
        <v>78</v>
      </c>
      <c r="BN66" t="s">
        <v>78</v>
      </c>
      <c r="BO66" t="s">
        <v>95</v>
      </c>
      <c r="BP66" t="s">
        <v>513</v>
      </c>
      <c r="BQ66" t="s">
        <v>514</v>
      </c>
      <c r="BR66" t="s">
        <v>515</v>
      </c>
      <c r="BS66" t="s">
        <v>516</v>
      </c>
      <c r="BT66" t="s">
        <v>170</v>
      </c>
      <c r="BU66" t="s">
        <v>510</v>
      </c>
      <c r="BV66" t="str">
        <f t="shared" si="0"/>
        <v>W40PDA</v>
      </c>
    </row>
    <row r="67" spans="1:74" x14ac:dyDescent="0.25">
      <c r="A67" t="s">
        <v>73</v>
      </c>
      <c r="B67" t="s">
        <v>74</v>
      </c>
      <c r="C67" t="s">
        <v>517</v>
      </c>
      <c r="D67" t="s">
        <v>518</v>
      </c>
      <c r="G67" t="s">
        <v>677</v>
      </c>
      <c r="H67" t="s">
        <v>78</v>
      </c>
      <c r="I67" t="s">
        <v>79</v>
      </c>
      <c r="J67" t="s">
        <v>519</v>
      </c>
      <c r="K67" t="s">
        <v>520</v>
      </c>
      <c r="L67" t="s">
        <v>82</v>
      </c>
      <c r="N67" t="s">
        <v>83</v>
      </c>
      <c r="O67" t="s">
        <v>78</v>
      </c>
      <c r="P67" t="s">
        <v>84</v>
      </c>
      <c r="Q67" t="s">
        <v>78</v>
      </c>
      <c r="R67" t="s">
        <v>84</v>
      </c>
      <c r="S67" t="s">
        <v>78</v>
      </c>
      <c r="T67" t="s">
        <v>84</v>
      </c>
      <c r="U67" t="s">
        <v>78</v>
      </c>
      <c r="V67" t="s">
        <v>91</v>
      </c>
      <c r="W67" t="s">
        <v>521</v>
      </c>
      <c r="X67" t="s">
        <v>521</v>
      </c>
      <c r="Y67" t="s">
        <v>79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H67" t="s">
        <v>78</v>
      </c>
      <c r="AL67" t="s">
        <v>454</v>
      </c>
      <c r="AM67" t="s">
        <v>78</v>
      </c>
      <c r="AN67" t="s">
        <v>78</v>
      </c>
      <c r="AQ67" t="s">
        <v>78</v>
      </c>
      <c r="AR67" t="s">
        <v>78</v>
      </c>
      <c r="AT67" t="s">
        <v>522</v>
      </c>
      <c r="AV67" t="s">
        <v>144</v>
      </c>
      <c r="AW67" t="s">
        <v>89</v>
      </c>
      <c r="AX67" t="s">
        <v>79</v>
      </c>
      <c r="AY67" t="s">
        <v>84</v>
      </c>
      <c r="AZ67" t="s">
        <v>91</v>
      </c>
      <c r="BA67" t="s">
        <v>91</v>
      </c>
      <c r="BB67" t="s">
        <v>92</v>
      </c>
      <c r="BC67" t="s">
        <v>78</v>
      </c>
      <c r="BE67" t="s">
        <v>78</v>
      </c>
      <c r="BF67" t="s">
        <v>523</v>
      </c>
      <c r="BG67" t="s">
        <v>524</v>
      </c>
      <c r="BH67" t="s">
        <v>78</v>
      </c>
      <c r="BK67" t="s">
        <v>107</v>
      </c>
      <c r="BL67" t="s">
        <v>78</v>
      </c>
      <c r="BM67" t="s">
        <v>84</v>
      </c>
      <c r="BN67" t="s">
        <v>78</v>
      </c>
      <c r="BO67" t="s">
        <v>95</v>
      </c>
      <c r="BP67" t="s">
        <v>525</v>
      </c>
      <c r="BQ67" t="s">
        <v>526</v>
      </c>
      <c r="BR67" t="s">
        <v>527</v>
      </c>
      <c r="BS67" t="s">
        <v>528</v>
      </c>
      <c r="BT67" t="s">
        <v>112</v>
      </c>
      <c r="BU67" t="s">
        <v>517</v>
      </c>
      <c r="BV67" t="str">
        <f t="shared" ref="BV67:BV89" si="1">LEFT(G67,3)&amp;"PDA"</f>
        <v>W40PDA</v>
      </c>
    </row>
    <row r="68" spans="1:74" x14ac:dyDescent="0.25">
      <c r="A68" t="s">
        <v>73</v>
      </c>
      <c r="B68" t="s">
        <v>74</v>
      </c>
      <c r="C68" t="s">
        <v>529</v>
      </c>
      <c r="D68" t="s">
        <v>530</v>
      </c>
      <c r="G68" t="s">
        <v>677</v>
      </c>
      <c r="H68" t="s">
        <v>78</v>
      </c>
      <c r="I68" t="s">
        <v>90</v>
      </c>
      <c r="J68" t="s">
        <v>124</v>
      </c>
      <c r="K68" t="s">
        <v>125</v>
      </c>
      <c r="L68" t="s">
        <v>180</v>
      </c>
      <c r="N68" t="s">
        <v>126</v>
      </c>
      <c r="O68" t="s">
        <v>78</v>
      </c>
      <c r="P68" t="s">
        <v>91</v>
      </c>
      <c r="Q68" t="s">
        <v>78</v>
      </c>
      <c r="R68" t="s">
        <v>84</v>
      </c>
      <c r="S68" t="s">
        <v>78</v>
      </c>
      <c r="T68" t="s">
        <v>84</v>
      </c>
      <c r="U68" t="s">
        <v>78</v>
      </c>
      <c r="V68" t="s">
        <v>91</v>
      </c>
      <c r="W68" t="s">
        <v>84</v>
      </c>
      <c r="X68" t="s">
        <v>84</v>
      </c>
      <c r="Y68" t="s">
        <v>90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H68" t="s">
        <v>78</v>
      </c>
      <c r="AM68" t="s">
        <v>78</v>
      </c>
      <c r="AN68" t="s">
        <v>78</v>
      </c>
      <c r="AQ68" t="s">
        <v>78</v>
      </c>
      <c r="AR68" t="s">
        <v>78</v>
      </c>
      <c r="AV68" t="s">
        <v>384</v>
      </c>
      <c r="AW68" t="s">
        <v>89</v>
      </c>
      <c r="AX68" t="s">
        <v>90</v>
      </c>
      <c r="AY68" t="s">
        <v>78</v>
      </c>
      <c r="AZ68" t="s">
        <v>91</v>
      </c>
      <c r="BA68" t="s">
        <v>92</v>
      </c>
      <c r="BB68" t="s">
        <v>92</v>
      </c>
      <c r="BC68" t="s">
        <v>78</v>
      </c>
      <c r="BE68" t="s">
        <v>78</v>
      </c>
      <c r="BH68" t="s">
        <v>78</v>
      </c>
      <c r="BK68" t="s">
        <v>107</v>
      </c>
      <c r="BL68" t="s">
        <v>78</v>
      </c>
      <c r="BM68" t="s">
        <v>78</v>
      </c>
      <c r="BN68" t="s">
        <v>78</v>
      </c>
      <c r="BO68" t="s">
        <v>127</v>
      </c>
      <c r="BP68" t="s">
        <v>531</v>
      </c>
      <c r="BQ68" t="s">
        <v>532</v>
      </c>
      <c r="BR68" t="s">
        <v>187</v>
      </c>
      <c r="BS68" t="s">
        <v>120</v>
      </c>
      <c r="BT68" t="s">
        <v>112</v>
      </c>
      <c r="BU68" t="s">
        <v>529</v>
      </c>
      <c r="BV68" t="str">
        <f t="shared" si="1"/>
        <v>W40PDA</v>
      </c>
    </row>
    <row r="69" spans="1:74" x14ac:dyDescent="0.25">
      <c r="A69" t="s">
        <v>73</v>
      </c>
      <c r="B69" t="s">
        <v>74</v>
      </c>
      <c r="C69" t="s">
        <v>533</v>
      </c>
      <c r="D69" t="s">
        <v>534</v>
      </c>
      <c r="E69" t="s">
        <v>535</v>
      </c>
      <c r="G69" t="s">
        <v>676</v>
      </c>
      <c r="H69" t="s">
        <v>78</v>
      </c>
      <c r="I69" t="s">
        <v>102</v>
      </c>
      <c r="J69" t="s">
        <v>103</v>
      </c>
      <c r="K69" t="s">
        <v>104</v>
      </c>
      <c r="L69" t="s">
        <v>105</v>
      </c>
      <c r="N69" t="s">
        <v>106</v>
      </c>
      <c r="O69" t="s">
        <v>78</v>
      </c>
      <c r="P69" t="s">
        <v>91</v>
      </c>
      <c r="Q69" t="s">
        <v>78</v>
      </c>
      <c r="R69" t="s">
        <v>84</v>
      </c>
      <c r="S69" t="s">
        <v>78</v>
      </c>
      <c r="T69" t="s">
        <v>84</v>
      </c>
      <c r="U69" t="s">
        <v>78</v>
      </c>
      <c r="V69" t="s">
        <v>91</v>
      </c>
      <c r="W69" t="s">
        <v>78</v>
      </c>
      <c r="X69" t="s">
        <v>78</v>
      </c>
      <c r="Y69" t="s">
        <v>102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H69" t="s">
        <v>78</v>
      </c>
      <c r="AM69" t="s">
        <v>78</v>
      </c>
      <c r="AN69" t="s">
        <v>78</v>
      </c>
      <c r="AQ69" t="s">
        <v>78</v>
      </c>
      <c r="AR69" t="s">
        <v>78</v>
      </c>
      <c r="AW69" t="s">
        <v>78</v>
      </c>
      <c r="AX69" t="s">
        <v>102</v>
      </c>
      <c r="AY69" t="s">
        <v>78</v>
      </c>
      <c r="AZ69" t="s">
        <v>78</v>
      </c>
      <c r="BA69" t="s">
        <v>92</v>
      </c>
      <c r="BB69" t="s">
        <v>92</v>
      </c>
      <c r="BC69" t="s">
        <v>78</v>
      </c>
      <c r="BE69" t="s">
        <v>78</v>
      </c>
      <c r="BH69" t="s">
        <v>78</v>
      </c>
      <c r="BK69" t="s">
        <v>107</v>
      </c>
      <c r="BL69" t="s">
        <v>78</v>
      </c>
      <c r="BM69" t="s">
        <v>78</v>
      </c>
      <c r="BN69" t="s">
        <v>78</v>
      </c>
      <c r="BO69" t="s">
        <v>95</v>
      </c>
      <c r="BP69" t="s">
        <v>536</v>
      </c>
      <c r="BQ69" t="s">
        <v>537</v>
      </c>
      <c r="BR69" t="s">
        <v>538</v>
      </c>
      <c r="BS69" t="s">
        <v>539</v>
      </c>
      <c r="BT69" t="s">
        <v>112</v>
      </c>
      <c r="BU69" t="s">
        <v>533</v>
      </c>
      <c r="BV69" t="str">
        <f t="shared" si="1"/>
        <v>W45PDA</v>
      </c>
    </row>
    <row r="70" spans="1:74" x14ac:dyDescent="0.25">
      <c r="A70" t="s">
        <v>73</v>
      </c>
      <c r="B70" t="s">
        <v>74</v>
      </c>
      <c r="C70" t="s">
        <v>540</v>
      </c>
      <c r="D70" t="s">
        <v>541</v>
      </c>
      <c r="E70" t="s">
        <v>542</v>
      </c>
      <c r="G70" t="s">
        <v>676</v>
      </c>
      <c r="H70" t="s">
        <v>78</v>
      </c>
      <c r="I70" t="s">
        <v>102</v>
      </c>
      <c r="J70" t="s">
        <v>103</v>
      </c>
      <c r="K70" t="s">
        <v>135</v>
      </c>
      <c r="L70" t="s">
        <v>105</v>
      </c>
      <c r="N70" t="s">
        <v>106</v>
      </c>
      <c r="O70" t="s">
        <v>78</v>
      </c>
      <c r="P70" t="s">
        <v>91</v>
      </c>
      <c r="Q70" t="s">
        <v>78</v>
      </c>
      <c r="R70" t="s">
        <v>84</v>
      </c>
      <c r="S70" t="s">
        <v>78</v>
      </c>
      <c r="T70" t="s">
        <v>84</v>
      </c>
      <c r="U70" t="s">
        <v>78</v>
      </c>
      <c r="V70" t="s">
        <v>91</v>
      </c>
      <c r="W70" t="s">
        <v>78</v>
      </c>
      <c r="X70" t="s">
        <v>78</v>
      </c>
      <c r="Y70" t="s">
        <v>102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H70" t="s">
        <v>78</v>
      </c>
      <c r="AM70" t="s">
        <v>78</v>
      </c>
      <c r="AN70" t="s">
        <v>78</v>
      </c>
      <c r="AQ70" t="s">
        <v>78</v>
      </c>
      <c r="AR70" t="s">
        <v>78</v>
      </c>
      <c r="AV70" t="s">
        <v>136</v>
      </c>
      <c r="AW70" t="s">
        <v>89</v>
      </c>
      <c r="AX70" t="s">
        <v>102</v>
      </c>
      <c r="AY70" t="s">
        <v>78</v>
      </c>
      <c r="AZ70" t="s">
        <v>78</v>
      </c>
      <c r="BA70" t="s">
        <v>92</v>
      </c>
      <c r="BB70" t="s">
        <v>92</v>
      </c>
      <c r="BC70" t="s">
        <v>78</v>
      </c>
      <c r="BE70" t="s">
        <v>78</v>
      </c>
      <c r="BH70" t="s">
        <v>78</v>
      </c>
      <c r="BK70" t="s">
        <v>107</v>
      </c>
      <c r="BL70" t="s">
        <v>78</v>
      </c>
      <c r="BM70" t="s">
        <v>78</v>
      </c>
      <c r="BN70" t="s">
        <v>78</v>
      </c>
      <c r="BO70" t="s">
        <v>95</v>
      </c>
      <c r="BP70" t="s">
        <v>543</v>
      </c>
      <c r="BQ70" t="s">
        <v>544</v>
      </c>
      <c r="BR70" t="s">
        <v>545</v>
      </c>
      <c r="BS70" t="s">
        <v>417</v>
      </c>
      <c r="BT70" t="s">
        <v>219</v>
      </c>
      <c r="BU70" t="s">
        <v>540</v>
      </c>
      <c r="BV70" t="str">
        <f t="shared" si="1"/>
        <v>W45PDA</v>
      </c>
    </row>
    <row r="71" spans="1:74" x14ac:dyDescent="0.25">
      <c r="A71" t="s">
        <v>73</v>
      </c>
      <c r="B71" t="s">
        <v>74</v>
      </c>
      <c r="C71" t="s">
        <v>546</v>
      </c>
      <c r="D71" t="s">
        <v>547</v>
      </c>
      <c r="E71" t="s">
        <v>548</v>
      </c>
      <c r="G71" t="s">
        <v>677</v>
      </c>
      <c r="H71" t="s">
        <v>78</v>
      </c>
      <c r="I71" t="s">
        <v>102</v>
      </c>
      <c r="J71" t="s">
        <v>103</v>
      </c>
      <c r="K71" t="s">
        <v>104</v>
      </c>
      <c r="L71" t="s">
        <v>105</v>
      </c>
      <c r="N71" t="s">
        <v>106</v>
      </c>
      <c r="O71" t="s">
        <v>78</v>
      </c>
      <c r="P71" t="s">
        <v>91</v>
      </c>
      <c r="Q71" t="s">
        <v>78</v>
      </c>
      <c r="R71" t="s">
        <v>84</v>
      </c>
      <c r="S71" t="s">
        <v>78</v>
      </c>
      <c r="T71" t="s">
        <v>84</v>
      </c>
      <c r="U71" t="s">
        <v>78</v>
      </c>
      <c r="V71" t="s">
        <v>91</v>
      </c>
      <c r="W71" t="s">
        <v>78</v>
      </c>
      <c r="X71" t="s">
        <v>78</v>
      </c>
      <c r="Y71" t="s">
        <v>102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H71" t="s">
        <v>78</v>
      </c>
      <c r="AM71" t="s">
        <v>78</v>
      </c>
      <c r="AN71" t="s">
        <v>78</v>
      </c>
      <c r="AQ71" t="s">
        <v>78</v>
      </c>
      <c r="AR71" t="s">
        <v>78</v>
      </c>
      <c r="AW71" t="s">
        <v>78</v>
      </c>
      <c r="AX71" t="s">
        <v>102</v>
      </c>
      <c r="AY71" t="s">
        <v>78</v>
      </c>
      <c r="AZ71" t="s">
        <v>78</v>
      </c>
      <c r="BA71" t="s">
        <v>92</v>
      </c>
      <c r="BB71" t="s">
        <v>92</v>
      </c>
      <c r="BC71" t="s">
        <v>78</v>
      </c>
      <c r="BE71" t="s">
        <v>78</v>
      </c>
      <c r="BH71" t="s">
        <v>78</v>
      </c>
      <c r="BK71" t="s">
        <v>107</v>
      </c>
      <c r="BL71" t="s">
        <v>78</v>
      </c>
      <c r="BM71" t="s">
        <v>78</v>
      </c>
      <c r="BN71" t="s">
        <v>78</v>
      </c>
      <c r="BO71" t="s">
        <v>95</v>
      </c>
      <c r="BP71" t="s">
        <v>549</v>
      </c>
      <c r="BQ71" t="s">
        <v>550</v>
      </c>
      <c r="BR71" t="s">
        <v>527</v>
      </c>
      <c r="BS71" t="s">
        <v>482</v>
      </c>
      <c r="BT71" t="s">
        <v>112</v>
      </c>
      <c r="BU71" t="s">
        <v>546</v>
      </c>
      <c r="BV71" t="str">
        <f t="shared" si="1"/>
        <v>W40PDA</v>
      </c>
    </row>
    <row r="72" spans="1:74" x14ac:dyDescent="0.25">
      <c r="A72" t="s">
        <v>73</v>
      </c>
      <c r="B72" t="s">
        <v>74</v>
      </c>
      <c r="C72" t="s">
        <v>551</v>
      </c>
      <c r="D72" t="s">
        <v>552</v>
      </c>
      <c r="E72" t="s">
        <v>553</v>
      </c>
      <c r="G72" t="s">
        <v>677</v>
      </c>
      <c r="H72" t="s">
        <v>78</v>
      </c>
      <c r="I72" t="s">
        <v>102</v>
      </c>
      <c r="J72" t="s">
        <v>103</v>
      </c>
      <c r="K72" t="s">
        <v>104</v>
      </c>
      <c r="L72" t="s">
        <v>105</v>
      </c>
      <c r="N72" t="s">
        <v>106</v>
      </c>
      <c r="O72" t="s">
        <v>78</v>
      </c>
      <c r="P72" t="s">
        <v>91</v>
      </c>
      <c r="Q72" t="s">
        <v>78</v>
      </c>
      <c r="R72" t="s">
        <v>84</v>
      </c>
      <c r="S72" t="s">
        <v>78</v>
      </c>
      <c r="T72" t="s">
        <v>84</v>
      </c>
      <c r="U72" t="s">
        <v>78</v>
      </c>
      <c r="V72" t="s">
        <v>91</v>
      </c>
      <c r="W72" t="s">
        <v>78</v>
      </c>
      <c r="X72" t="s">
        <v>78</v>
      </c>
      <c r="Y72" t="s">
        <v>102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H72" t="s">
        <v>78</v>
      </c>
      <c r="AM72" t="s">
        <v>78</v>
      </c>
      <c r="AN72" t="s">
        <v>78</v>
      </c>
      <c r="AQ72" t="s">
        <v>78</v>
      </c>
      <c r="AR72" t="s">
        <v>78</v>
      </c>
      <c r="AW72" t="s">
        <v>78</v>
      </c>
      <c r="AX72" t="s">
        <v>102</v>
      </c>
      <c r="AY72" t="s">
        <v>78</v>
      </c>
      <c r="AZ72" t="s">
        <v>78</v>
      </c>
      <c r="BA72" t="s">
        <v>92</v>
      </c>
      <c r="BB72" t="s">
        <v>92</v>
      </c>
      <c r="BC72" t="s">
        <v>78</v>
      </c>
      <c r="BE72" t="s">
        <v>78</v>
      </c>
      <c r="BH72" t="s">
        <v>78</v>
      </c>
      <c r="BK72" t="s">
        <v>107</v>
      </c>
      <c r="BL72" t="s">
        <v>78</v>
      </c>
      <c r="BM72" t="s">
        <v>78</v>
      </c>
      <c r="BN72" t="s">
        <v>78</v>
      </c>
      <c r="BO72" t="s">
        <v>95</v>
      </c>
      <c r="BP72" t="s">
        <v>549</v>
      </c>
      <c r="BQ72" t="s">
        <v>554</v>
      </c>
      <c r="BR72" t="s">
        <v>555</v>
      </c>
      <c r="BS72" t="s">
        <v>556</v>
      </c>
      <c r="BT72" t="s">
        <v>170</v>
      </c>
      <c r="BU72" t="s">
        <v>551</v>
      </c>
      <c r="BV72" t="str">
        <f t="shared" si="1"/>
        <v>W40PDA</v>
      </c>
    </row>
    <row r="73" spans="1:74" x14ac:dyDescent="0.25">
      <c r="A73" t="s">
        <v>73</v>
      </c>
      <c r="B73" t="s">
        <v>74</v>
      </c>
      <c r="C73" t="s">
        <v>557</v>
      </c>
      <c r="D73" t="s">
        <v>558</v>
      </c>
      <c r="E73" t="s">
        <v>559</v>
      </c>
      <c r="G73" t="s">
        <v>677</v>
      </c>
      <c r="H73" t="s">
        <v>78</v>
      </c>
      <c r="I73" t="s">
        <v>102</v>
      </c>
      <c r="J73" t="s">
        <v>103</v>
      </c>
      <c r="K73" t="s">
        <v>104</v>
      </c>
      <c r="L73" t="s">
        <v>105</v>
      </c>
      <c r="N73" t="s">
        <v>106</v>
      </c>
      <c r="O73" t="s">
        <v>78</v>
      </c>
      <c r="P73" t="s">
        <v>91</v>
      </c>
      <c r="Q73" t="s">
        <v>78</v>
      </c>
      <c r="R73" t="s">
        <v>84</v>
      </c>
      <c r="S73" t="s">
        <v>78</v>
      </c>
      <c r="T73" t="s">
        <v>84</v>
      </c>
      <c r="U73" t="s">
        <v>78</v>
      </c>
      <c r="V73" t="s">
        <v>91</v>
      </c>
      <c r="W73" t="s">
        <v>78</v>
      </c>
      <c r="X73" t="s">
        <v>78</v>
      </c>
      <c r="Y73" t="s">
        <v>102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H73" t="s">
        <v>78</v>
      </c>
      <c r="AM73" t="s">
        <v>78</v>
      </c>
      <c r="AN73" t="s">
        <v>78</v>
      </c>
      <c r="AQ73" t="s">
        <v>78</v>
      </c>
      <c r="AR73" t="s">
        <v>78</v>
      </c>
      <c r="AW73" t="s">
        <v>78</v>
      </c>
      <c r="AX73" t="s">
        <v>102</v>
      </c>
      <c r="AY73" t="s">
        <v>78</v>
      </c>
      <c r="AZ73" t="s">
        <v>78</v>
      </c>
      <c r="BA73" t="s">
        <v>92</v>
      </c>
      <c r="BB73" t="s">
        <v>92</v>
      </c>
      <c r="BC73" t="s">
        <v>78</v>
      </c>
      <c r="BE73" t="s">
        <v>78</v>
      </c>
      <c r="BH73" t="s">
        <v>78</v>
      </c>
      <c r="BK73" t="s">
        <v>107</v>
      </c>
      <c r="BL73" t="s">
        <v>78</v>
      </c>
      <c r="BM73" t="s">
        <v>78</v>
      </c>
      <c r="BN73" t="s">
        <v>78</v>
      </c>
      <c r="BO73" t="s">
        <v>95</v>
      </c>
      <c r="BP73" t="s">
        <v>549</v>
      </c>
      <c r="BQ73" t="s">
        <v>560</v>
      </c>
      <c r="BR73" t="s">
        <v>561</v>
      </c>
      <c r="BS73" t="s">
        <v>482</v>
      </c>
      <c r="BT73" t="s">
        <v>170</v>
      </c>
      <c r="BU73" t="s">
        <v>557</v>
      </c>
      <c r="BV73" t="str">
        <f t="shared" si="1"/>
        <v>W40PDA</v>
      </c>
    </row>
    <row r="74" spans="1:74" x14ac:dyDescent="0.25">
      <c r="A74" t="s">
        <v>73</v>
      </c>
      <c r="B74" t="s">
        <v>74</v>
      </c>
      <c r="C74" t="s">
        <v>562</v>
      </c>
      <c r="D74" t="s">
        <v>563</v>
      </c>
      <c r="E74" t="s">
        <v>563</v>
      </c>
      <c r="G74" t="s">
        <v>677</v>
      </c>
      <c r="H74" t="s">
        <v>78</v>
      </c>
      <c r="I74" t="s">
        <v>90</v>
      </c>
      <c r="J74" t="s">
        <v>124</v>
      </c>
      <c r="K74" t="s">
        <v>125</v>
      </c>
      <c r="L74" t="s">
        <v>224</v>
      </c>
      <c r="N74" t="s">
        <v>126</v>
      </c>
      <c r="O74" t="s">
        <v>78</v>
      </c>
      <c r="P74" t="s">
        <v>91</v>
      </c>
      <c r="Q74" t="s">
        <v>78</v>
      </c>
      <c r="R74" t="s">
        <v>84</v>
      </c>
      <c r="S74" t="s">
        <v>78</v>
      </c>
      <c r="T74" t="s">
        <v>84</v>
      </c>
      <c r="U74" t="s">
        <v>89</v>
      </c>
      <c r="V74" t="s">
        <v>91</v>
      </c>
      <c r="W74" t="s">
        <v>78</v>
      </c>
      <c r="X74" t="s">
        <v>78</v>
      </c>
      <c r="Y74" t="s">
        <v>90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H74" t="s">
        <v>78</v>
      </c>
      <c r="AM74" t="s">
        <v>78</v>
      </c>
      <c r="AN74" t="s">
        <v>78</v>
      </c>
      <c r="AQ74" t="s">
        <v>78</v>
      </c>
      <c r="AR74" t="s">
        <v>78</v>
      </c>
      <c r="AW74" t="s">
        <v>89</v>
      </c>
      <c r="AX74" t="s">
        <v>90</v>
      </c>
      <c r="AY74" t="s">
        <v>78</v>
      </c>
      <c r="AZ74" t="s">
        <v>91</v>
      </c>
      <c r="BA74" t="s">
        <v>92</v>
      </c>
      <c r="BB74" t="s">
        <v>92</v>
      </c>
      <c r="BC74" t="s">
        <v>78</v>
      </c>
      <c r="BE74" t="s">
        <v>78</v>
      </c>
      <c r="BH74" t="s">
        <v>78</v>
      </c>
      <c r="BL74" t="s">
        <v>78</v>
      </c>
      <c r="BM74" t="s">
        <v>78</v>
      </c>
      <c r="BN74" t="s">
        <v>78</v>
      </c>
      <c r="BO74" t="s">
        <v>95</v>
      </c>
      <c r="BP74" t="s">
        <v>564</v>
      </c>
      <c r="BQ74" t="s">
        <v>565</v>
      </c>
      <c r="BR74" t="s">
        <v>110</v>
      </c>
      <c r="BS74" t="s">
        <v>566</v>
      </c>
      <c r="BT74" t="s">
        <v>112</v>
      </c>
      <c r="BU74" t="s">
        <v>562</v>
      </c>
      <c r="BV74" t="str">
        <f t="shared" si="1"/>
        <v>W40PDA</v>
      </c>
    </row>
    <row r="75" spans="1:74" x14ac:dyDescent="0.25">
      <c r="A75" t="s">
        <v>73</v>
      </c>
      <c r="B75" t="s">
        <v>74</v>
      </c>
      <c r="C75" t="s">
        <v>567</v>
      </c>
      <c r="D75" t="s">
        <v>568</v>
      </c>
      <c r="E75" t="s">
        <v>569</v>
      </c>
      <c r="G75" t="s">
        <v>677</v>
      </c>
      <c r="H75" t="s">
        <v>78</v>
      </c>
      <c r="I75" t="s">
        <v>79</v>
      </c>
      <c r="J75" t="s">
        <v>570</v>
      </c>
      <c r="K75" t="s">
        <v>571</v>
      </c>
      <c r="L75" t="s">
        <v>82</v>
      </c>
      <c r="N75" t="s">
        <v>83</v>
      </c>
      <c r="O75" t="s">
        <v>78</v>
      </c>
      <c r="P75" t="s">
        <v>84</v>
      </c>
      <c r="Q75" t="s">
        <v>78</v>
      </c>
      <c r="R75" t="s">
        <v>84</v>
      </c>
      <c r="S75" t="s">
        <v>78</v>
      </c>
      <c r="T75" t="s">
        <v>84</v>
      </c>
      <c r="U75" t="s">
        <v>78</v>
      </c>
      <c r="V75" t="s">
        <v>78</v>
      </c>
      <c r="W75" t="s">
        <v>78</v>
      </c>
      <c r="X75" t="s">
        <v>78</v>
      </c>
      <c r="Y75" t="s">
        <v>79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74</v>
      </c>
      <c r="AH75" t="s">
        <v>78</v>
      </c>
      <c r="AL75" t="s">
        <v>572</v>
      </c>
      <c r="AM75" t="s">
        <v>78</v>
      </c>
      <c r="AN75" t="s">
        <v>78</v>
      </c>
      <c r="AQ75" t="s">
        <v>78</v>
      </c>
      <c r="AR75" t="s">
        <v>78</v>
      </c>
      <c r="AT75" t="s">
        <v>573</v>
      </c>
      <c r="AV75" t="s">
        <v>384</v>
      </c>
      <c r="AW75" t="s">
        <v>89</v>
      </c>
      <c r="AX75" t="s">
        <v>79</v>
      </c>
      <c r="AY75" t="s">
        <v>78</v>
      </c>
      <c r="AZ75" t="s">
        <v>91</v>
      </c>
      <c r="BA75" t="s">
        <v>91</v>
      </c>
      <c r="BB75" t="s">
        <v>92</v>
      </c>
      <c r="BC75" t="s">
        <v>78</v>
      </c>
      <c r="BE75" t="s">
        <v>78</v>
      </c>
      <c r="BH75" t="s">
        <v>78</v>
      </c>
      <c r="BL75" t="s">
        <v>78</v>
      </c>
      <c r="BM75" t="s">
        <v>84</v>
      </c>
      <c r="BN75" t="s">
        <v>78</v>
      </c>
      <c r="BO75" t="s">
        <v>95</v>
      </c>
      <c r="BP75" t="s">
        <v>574</v>
      </c>
      <c r="BQ75" t="s">
        <v>575</v>
      </c>
      <c r="BR75" t="s">
        <v>576</v>
      </c>
      <c r="BS75" t="s">
        <v>577</v>
      </c>
      <c r="BT75" t="s">
        <v>170</v>
      </c>
      <c r="BU75" t="s">
        <v>567</v>
      </c>
      <c r="BV75" t="str">
        <f t="shared" si="1"/>
        <v>W40PDA</v>
      </c>
    </row>
    <row r="76" spans="1:74" x14ac:dyDescent="0.25">
      <c r="A76" t="s">
        <v>73</v>
      </c>
      <c r="B76" t="s">
        <v>74</v>
      </c>
      <c r="C76" t="s">
        <v>578</v>
      </c>
      <c r="D76" t="s">
        <v>579</v>
      </c>
      <c r="G76" t="s">
        <v>678</v>
      </c>
      <c r="H76" t="s">
        <v>78</v>
      </c>
      <c r="I76" t="s">
        <v>102</v>
      </c>
      <c r="J76" t="s">
        <v>103</v>
      </c>
      <c r="K76" t="s">
        <v>580</v>
      </c>
      <c r="L76" t="s">
        <v>105</v>
      </c>
      <c r="N76" t="s">
        <v>106</v>
      </c>
      <c r="O76" t="s">
        <v>78</v>
      </c>
      <c r="P76" t="s">
        <v>91</v>
      </c>
      <c r="Q76" t="s">
        <v>78</v>
      </c>
      <c r="R76" t="s">
        <v>84</v>
      </c>
      <c r="S76" t="s">
        <v>78</v>
      </c>
      <c r="T76" t="s">
        <v>84</v>
      </c>
      <c r="U76" t="s">
        <v>89</v>
      </c>
      <c r="V76" t="s">
        <v>91</v>
      </c>
      <c r="W76" t="s">
        <v>78</v>
      </c>
      <c r="X76" t="s">
        <v>78</v>
      </c>
      <c r="Y76" t="s">
        <v>102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H76" t="s">
        <v>78</v>
      </c>
      <c r="AM76" t="s">
        <v>78</v>
      </c>
      <c r="AN76" t="s">
        <v>78</v>
      </c>
      <c r="AQ76" t="s">
        <v>78</v>
      </c>
      <c r="AR76" t="s">
        <v>78</v>
      </c>
      <c r="AW76" t="s">
        <v>78</v>
      </c>
      <c r="AX76" t="s">
        <v>102</v>
      </c>
      <c r="AY76" t="s">
        <v>78</v>
      </c>
      <c r="AZ76" t="s">
        <v>78</v>
      </c>
      <c r="BA76" t="s">
        <v>92</v>
      </c>
      <c r="BB76" t="s">
        <v>92</v>
      </c>
      <c r="BC76" t="s">
        <v>78</v>
      </c>
      <c r="BE76" t="s">
        <v>78</v>
      </c>
      <c r="BH76" t="s">
        <v>78</v>
      </c>
      <c r="BL76" t="s">
        <v>78</v>
      </c>
      <c r="BM76" t="s">
        <v>78</v>
      </c>
      <c r="BN76" t="s">
        <v>78</v>
      </c>
      <c r="BO76" t="s">
        <v>95</v>
      </c>
      <c r="BP76" t="s">
        <v>574</v>
      </c>
      <c r="BQ76" t="s">
        <v>581</v>
      </c>
      <c r="BR76" t="s">
        <v>574</v>
      </c>
      <c r="BS76" t="s">
        <v>582</v>
      </c>
      <c r="BT76" t="s">
        <v>170</v>
      </c>
      <c r="BU76" t="s">
        <v>578</v>
      </c>
      <c r="BV76" t="str">
        <f t="shared" si="1"/>
        <v>W25PDA</v>
      </c>
    </row>
    <row r="77" spans="1:74" x14ac:dyDescent="0.25">
      <c r="A77" t="s">
        <v>73</v>
      </c>
      <c r="B77" t="s">
        <v>74</v>
      </c>
      <c r="C77" t="s">
        <v>583</v>
      </c>
      <c r="D77" t="s">
        <v>584</v>
      </c>
      <c r="E77" t="s">
        <v>585</v>
      </c>
      <c r="G77" t="s">
        <v>677</v>
      </c>
      <c r="H77" t="s">
        <v>78</v>
      </c>
      <c r="I77" t="s">
        <v>90</v>
      </c>
      <c r="J77" t="s">
        <v>586</v>
      </c>
      <c r="K77" t="s">
        <v>587</v>
      </c>
      <c r="L77" t="s">
        <v>588</v>
      </c>
      <c r="N77" t="s">
        <v>589</v>
      </c>
      <c r="O77" t="s">
        <v>78</v>
      </c>
      <c r="P77" t="s">
        <v>84</v>
      </c>
      <c r="Q77" t="s">
        <v>78</v>
      </c>
      <c r="R77" t="s">
        <v>84</v>
      </c>
      <c r="S77" t="s">
        <v>78</v>
      </c>
      <c r="T77" t="s">
        <v>84</v>
      </c>
      <c r="U77" t="s">
        <v>78</v>
      </c>
      <c r="V77" t="s">
        <v>91</v>
      </c>
      <c r="W77" t="s">
        <v>78</v>
      </c>
      <c r="X77" t="s">
        <v>78</v>
      </c>
      <c r="Y77" t="s">
        <v>90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H77" t="s">
        <v>78</v>
      </c>
      <c r="AM77" t="s">
        <v>78</v>
      </c>
      <c r="AN77" t="s">
        <v>78</v>
      </c>
      <c r="AQ77" t="s">
        <v>78</v>
      </c>
      <c r="AR77" t="s">
        <v>78</v>
      </c>
      <c r="AT77" t="s">
        <v>590</v>
      </c>
      <c r="AV77" t="s">
        <v>384</v>
      </c>
      <c r="AW77" t="s">
        <v>89</v>
      </c>
      <c r="AX77" t="s">
        <v>90</v>
      </c>
      <c r="AY77" t="s">
        <v>84</v>
      </c>
      <c r="AZ77" t="s">
        <v>91</v>
      </c>
      <c r="BA77" t="s">
        <v>91</v>
      </c>
      <c r="BB77" t="s">
        <v>92</v>
      </c>
      <c r="BC77" t="s">
        <v>78</v>
      </c>
      <c r="BE77" t="s">
        <v>78</v>
      </c>
      <c r="BF77" t="s">
        <v>591</v>
      </c>
      <c r="BG77" t="s">
        <v>592</v>
      </c>
      <c r="BH77" t="s">
        <v>78</v>
      </c>
      <c r="BK77" t="s">
        <v>107</v>
      </c>
      <c r="BL77" t="s">
        <v>78</v>
      </c>
      <c r="BM77" t="s">
        <v>84</v>
      </c>
      <c r="BN77" t="s">
        <v>78</v>
      </c>
      <c r="BO77" t="s">
        <v>95</v>
      </c>
      <c r="BP77" t="s">
        <v>593</v>
      </c>
      <c r="BQ77" t="s">
        <v>594</v>
      </c>
      <c r="BR77" t="s">
        <v>595</v>
      </c>
      <c r="BS77" t="s">
        <v>596</v>
      </c>
      <c r="BT77" t="s">
        <v>170</v>
      </c>
      <c r="BU77" t="s">
        <v>583</v>
      </c>
      <c r="BV77" t="str">
        <f t="shared" si="1"/>
        <v>W40PDA</v>
      </c>
    </row>
    <row r="78" spans="1:74" x14ac:dyDescent="0.25">
      <c r="A78" t="s">
        <v>73</v>
      </c>
      <c r="B78" t="s">
        <v>74</v>
      </c>
      <c r="C78" t="s">
        <v>597</v>
      </c>
      <c r="D78" t="s">
        <v>598</v>
      </c>
      <c r="E78" t="s">
        <v>599</v>
      </c>
      <c r="G78" t="s">
        <v>677</v>
      </c>
      <c r="H78" t="s">
        <v>78</v>
      </c>
      <c r="I78" t="s">
        <v>90</v>
      </c>
      <c r="J78" t="s">
        <v>586</v>
      </c>
      <c r="K78" t="s">
        <v>587</v>
      </c>
      <c r="L78" t="s">
        <v>588</v>
      </c>
      <c r="N78" t="s">
        <v>83</v>
      </c>
      <c r="O78" t="s">
        <v>78</v>
      </c>
      <c r="P78" t="s">
        <v>84</v>
      </c>
      <c r="Q78" t="s">
        <v>78</v>
      </c>
      <c r="R78" t="s">
        <v>84</v>
      </c>
      <c r="S78" t="s">
        <v>78</v>
      </c>
      <c r="T78" t="s">
        <v>84</v>
      </c>
      <c r="U78" t="s">
        <v>78</v>
      </c>
      <c r="V78" t="s">
        <v>91</v>
      </c>
      <c r="W78" t="s">
        <v>78</v>
      </c>
      <c r="X78" t="s">
        <v>78</v>
      </c>
      <c r="Y78" t="s">
        <v>90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H78" t="s">
        <v>78</v>
      </c>
      <c r="AM78" t="s">
        <v>78</v>
      </c>
      <c r="AN78" t="s">
        <v>78</v>
      </c>
      <c r="AQ78" t="s">
        <v>78</v>
      </c>
      <c r="AR78" t="s">
        <v>78</v>
      </c>
      <c r="AT78" t="s">
        <v>590</v>
      </c>
      <c r="AV78" t="s">
        <v>384</v>
      </c>
      <c r="AW78" t="s">
        <v>89</v>
      </c>
      <c r="AX78" t="s">
        <v>90</v>
      </c>
      <c r="AY78" t="s">
        <v>84</v>
      </c>
      <c r="AZ78" t="s">
        <v>91</v>
      </c>
      <c r="BA78" t="s">
        <v>91</v>
      </c>
      <c r="BB78" t="s">
        <v>92</v>
      </c>
      <c r="BC78" t="s">
        <v>78</v>
      </c>
      <c r="BE78" t="s">
        <v>78</v>
      </c>
      <c r="BF78" t="s">
        <v>591</v>
      </c>
      <c r="BG78" t="s">
        <v>592</v>
      </c>
      <c r="BH78" t="s">
        <v>78</v>
      </c>
      <c r="BK78" t="s">
        <v>107</v>
      </c>
      <c r="BL78" t="s">
        <v>78</v>
      </c>
      <c r="BM78" t="s">
        <v>84</v>
      </c>
      <c r="BN78" t="s">
        <v>78</v>
      </c>
      <c r="BO78" t="s">
        <v>95</v>
      </c>
      <c r="BP78" t="s">
        <v>593</v>
      </c>
      <c r="BQ78" t="s">
        <v>600</v>
      </c>
      <c r="BR78" t="s">
        <v>595</v>
      </c>
      <c r="BS78" t="s">
        <v>601</v>
      </c>
      <c r="BT78" t="s">
        <v>170</v>
      </c>
      <c r="BU78" t="s">
        <v>597</v>
      </c>
      <c r="BV78" t="str">
        <f t="shared" si="1"/>
        <v>W40PDA</v>
      </c>
    </row>
    <row r="79" spans="1:74" x14ac:dyDescent="0.25">
      <c r="A79" t="s">
        <v>73</v>
      </c>
      <c r="B79" t="s">
        <v>74</v>
      </c>
      <c r="C79" t="s">
        <v>602</v>
      </c>
      <c r="D79" t="s">
        <v>603</v>
      </c>
      <c r="E79" t="s">
        <v>604</v>
      </c>
      <c r="G79" t="s">
        <v>676</v>
      </c>
      <c r="H79" t="s">
        <v>78</v>
      </c>
      <c r="I79" t="s">
        <v>90</v>
      </c>
      <c r="J79" t="s">
        <v>124</v>
      </c>
      <c r="K79" t="s">
        <v>125</v>
      </c>
      <c r="L79" t="s">
        <v>143</v>
      </c>
      <c r="N79" t="s">
        <v>126</v>
      </c>
      <c r="O79" t="s">
        <v>78</v>
      </c>
      <c r="P79" t="s">
        <v>91</v>
      </c>
      <c r="Q79" t="s">
        <v>78</v>
      </c>
      <c r="R79" t="s">
        <v>84</v>
      </c>
      <c r="S79" t="s">
        <v>78</v>
      </c>
      <c r="T79" t="s">
        <v>84</v>
      </c>
      <c r="U79" t="s">
        <v>78</v>
      </c>
      <c r="V79" t="s">
        <v>91</v>
      </c>
      <c r="W79" t="s">
        <v>84</v>
      </c>
      <c r="X79" t="s">
        <v>84</v>
      </c>
      <c r="Y79" t="s">
        <v>90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H79" t="s">
        <v>78</v>
      </c>
      <c r="AM79" t="s">
        <v>78</v>
      </c>
      <c r="AN79" t="s">
        <v>78</v>
      </c>
      <c r="AQ79" t="s">
        <v>78</v>
      </c>
      <c r="AR79" t="s">
        <v>78</v>
      </c>
      <c r="AV79" t="s">
        <v>144</v>
      </c>
      <c r="AW79" t="s">
        <v>89</v>
      </c>
      <c r="AX79" t="s">
        <v>90</v>
      </c>
      <c r="AY79" t="s">
        <v>78</v>
      </c>
      <c r="AZ79" t="s">
        <v>91</v>
      </c>
      <c r="BA79" t="s">
        <v>92</v>
      </c>
      <c r="BB79" t="s">
        <v>92</v>
      </c>
      <c r="BC79" t="s">
        <v>78</v>
      </c>
      <c r="BE79" t="s">
        <v>78</v>
      </c>
      <c r="BH79" t="s">
        <v>78</v>
      </c>
      <c r="BK79" t="s">
        <v>107</v>
      </c>
      <c r="BL79" t="s">
        <v>78</v>
      </c>
      <c r="BM79" t="s">
        <v>78</v>
      </c>
      <c r="BN79" t="s">
        <v>78</v>
      </c>
      <c r="BO79" t="s">
        <v>127</v>
      </c>
      <c r="BP79" t="s">
        <v>605</v>
      </c>
      <c r="BQ79" t="s">
        <v>606</v>
      </c>
      <c r="BR79" t="s">
        <v>110</v>
      </c>
      <c r="BS79" t="s">
        <v>131</v>
      </c>
      <c r="BT79" t="s">
        <v>112</v>
      </c>
      <c r="BU79" t="s">
        <v>602</v>
      </c>
      <c r="BV79" t="str">
        <f t="shared" si="1"/>
        <v>W45PDA</v>
      </c>
    </row>
    <row r="80" spans="1:74" x14ac:dyDescent="0.25">
      <c r="A80" t="s">
        <v>73</v>
      </c>
      <c r="B80" t="s">
        <v>74</v>
      </c>
      <c r="C80" t="s">
        <v>607</v>
      </c>
      <c r="D80" t="s">
        <v>608</v>
      </c>
      <c r="G80" t="s">
        <v>677</v>
      </c>
      <c r="H80" t="s">
        <v>78</v>
      </c>
      <c r="I80" t="s">
        <v>90</v>
      </c>
      <c r="J80" t="s">
        <v>124</v>
      </c>
      <c r="K80" t="s">
        <v>125</v>
      </c>
      <c r="L80" t="s">
        <v>180</v>
      </c>
      <c r="N80" t="s">
        <v>126</v>
      </c>
      <c r="O80" t="s">
        <v>78</v>
      </c>
      <c r="P80" t="s">
        <v>91</v>
      </c>
      <c r="Q80" t="s">
        <v>78</v>
      </c>
      <c r="R80" t="s">
        <v>84</v>
      </c>
      <c r="S80" t="s">
        <v>78</v>
      </c>
      <c r="T80" t="s">
        <v>84</v>
      </c>
      <c r="U80" t="s">
        <v>78</v>
      </c>
      <c r="V80" t="s">
        <v>91</v>
      </c>
      <c r="W80" t="s">
        <v>84</v>
      </c>
      <c r="X80" t="s">
        <v>84</v>
      </c>
      <c r="Y80" t="s">
        <v>90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H80" t="s">
        <v>78</v>
      </c>
      <c r="AM80" t="s">
        <v>78</v>
      </c>
      <c r="AN80" t="s">
        <v>78</v>
      </c>
      <c r="AQ80" t="s">
        <v>78</v>
      </c>
      <c r="AR80" t="s">
        <v>78</v>
      </c>
      <c r="AV80" t="s">
        <v>384</v>
      </c>
      <c r="AW80" t="s">
        <v>89</v>
      </c>
      <c r="AX80" t="s">
        <v>90</v>
      </c>
      <c r="AY80" t="s">
        <v>78</v>
      </c>
      <c r="AZ80" t="s">
        <v>91</v>
      </c>
      <c r="BA80" t="s">
        <v>92</v>
      </c>
      <c r="BB80" t="s">
        <v>92</v>
      </c>
      <c r="BC80" t="s">
        <v>78</v>
      </c>
      <c r="BE80" t="s">
        <v>78</v>
      </c>
      <c r="BH80" t="s">
        <v>78</v>
      </c>
      <c r="BK80" t="s">
        <v>107</v>
      </c>
      <c r="BL80" t="s">
        <v>78</v>
      </c>
      <c r="BM80" t="s">
        <v>78</v>
      </c>
      <c r="BN80" t="s">
        <v>78</v>
      </c>
      <c r="BO80" t="s">
        <v>127</v>
      </c>
      <c r="BP80" t="s">
        <v>609</v>
      </c>
      <c r="BQ80" t="s">
        <v>610</v>
      </c>
      <c r="BR80" t="s">
        <v>609</v>
      </c>
      <c r="BS80" t="s">
        <v>120</v>
      </c>
      <c r="BT80" t="s">
        <v>170</v>
      </c>
      <c r="BU80" t="s">
        <v>607</v>
      </c>
      <c r="BV80" t="str">
        <f t="shared" si="1"/>
        <v>W40PDA</v>
      </c>
    </row>
    <row r="81" spans="1:74" x14ac:dyDescent="0.25">
      <c r="A81" t="s">
        <v>73</v>
      </c>
      <c r="B81" t="s">
        <v>74</v>
      </c>
      <c r="C81" t="s">
        <v>611</v>
      </c>
      <c r="D81" t="s">
        <v>612</v>
      </c>
      <c r="E81" t="s">
        <v>613</v>
      </c>
      <c r="G81" t="s">
        <v>677</v>
      </c>
      <c r="H81" t="s">
        <v>78</v>
      </c>
      <c r="I81" t="s">
        <v>90</v>
      </c>
      <c r="J81" t="s">
        <v>124</v>
      </c>
      <c r="K81" t="s">
        <v>125</v>
      </c>
      <c r="L81" t="s">
        <v>82</v>
      </c>
      <c r="N81" t="s">
        <v>126</v>
      </c>
      <c r="O81" t="s">
        <v>78</v>
      </c>
      <c r="P81" t="s">
        <v>91</v>
      </c>
      <c r="Q81" t="s">
        <v>78</v>
      </c>
      <c r="R81" t="s">
        <v>84</v>
      </c>
      <c r="S81" t="s">
        <v>78</v>
      </c>
      <c r="T81" t="s">
        <v>84</v>
      </c>
      <c r="U81" t="s">
        <v>78</v>
      </c>
      <c r="V81" t="s">
        <v>91</v>
      </c>
      <c r="W81" t="s">
        <v>84</v>
      </c>
      <c r="X81" t="s">
        <v>84</v>
      </c>
      <c r="Y81" t="s">
        <v>90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H81" t="s">
        <v>78</v>
      </c>
      <c r="AM81" t="s">
        <v>78</v>
      </c>
      <c r="AN81" t="s">
        <v>78</v>
      </c>
      <c r="AQ81" t="s">
        <v>78</v>
      </c>
      <c r="AR81" t="s">
        <v>78</v>
      </c>
      <c r="AV81" t="s">
        <v>144</v>
      </c>
      <c r="AW81" t="s">
        <v>89</v>
      </c>
      <c r="AX81" t="s">
        <v>90</v>
      </c>
      <c r="AY81" t="s">
        <v>78</v>
      </c>
      <c r="AZ81" t="s">
        <v>91</v>
      </c>
      <c r="BA81" t="s">
        <v>92</v>
      </c>
      <c r="BB81" t="s">
        <v>92</v>
      </c>
      <c r="BC81" t="s">
        <v>78</v>
      </c>
      <c r="BE81" t="s">
        <v>78</v>
      </c>
      <c r="BH81" t="s">
        <v>78</v>
      </c>
      <c r="BK81" t="s">
        <v>107</v>
      </c>
      <c r="BL81" t="s">
        <v>78</v>
      </c>
      <c r="BM81" t="s">
        <v>78</v>
      </c>
      <c r="BN81" t="s">
        <v>78</v>
      </c>
      <c r="BO81" t="s">
        <v>127</v>
      </c>
      <c r="BP81" t="s">
        <v>609</v>
      </c>
      <c r="BQ81" t="s">
        <v>614</v>
      </c>
      <c r="BR81" t="s">
        <v>252</v>
      </c>
      <c r="BS81" t="s">
        <v>615</v>
      </c>
      <c r="BT81" t="s">
        <v>170</v>
      </c>
      <c r="BU81" t="s">
        <v>611</v>
      </c>
      <c r="BV81" t="str">
        <f t="shared" si="1"/>
        <v>W40PDA</v>
      </c>
    </row>
    <row r="82" spans="1:74" x14ac:dyDescent="0.25">
      <c r="A82" t="s">
        <v>73</v>
      </c>
      <c r="B82" t="s">
        <v>74</v>
      </c>
      <c r="C82" t="s">
        <v>616</v>
      </c>
      <c r="D82" t="s">
        <v>617</v>
      </c>
      <c r="E82" t="s">
        <v>618</v>
      </c>
      <c r="G82" t="s">
        <v>677</v>
      </c>
      <c r="H82" t="s">
        <v>78</v>
      </c>
      <c r="I82" t="s">
        <v>90</v>
      </c>
      <c r="J82" t="s">
        <v>103</v>
      </c>
      <c r="K82" t="s">
        <v>135</v>
      </c>
      <c r="L82" t="s">
        <v>143</v>
      </c>
      <c r="N82" t="s">
        <v>106</v>
      </c>
      <c r="O82" t="s">
        <v>78</v>
      </c>
      <c r="P82" t="s">
        <v>91</v>
      </c>
      <c r="Q82" t="s">
        <v>78</v>
      </c>
      <c r="R82" t="s">
        <v>84</v>
      </c>
      <c r="S82" t="s">
        <v>78</v>
      </c>
      <c r="T82" t="s">
        <v>84</v>
      </c>
      <c r="U82" t="s">
        <v>78</v>
      </c>
      <c r="V82" t="s">
        <v>91</v>
      </c>
      <c r="W82" t="s">
        <v>78</v>
      </c>
      <c r="X82" t="s">
        <v>78</v>
      </c>
      <c r="Y82" t="s">
        <v>90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H82" t="s">
        <v>78</v>
      </c>
      <c r="AM82" t="s">
        <v>78</v>
      </c>
      <c r="AN82" t="s">
        <v>78</v>
      </c>
      <c r="AQ82" t="s">
        <v>78</v>
      </c>
      <c r="AR82" t="s">
        <v>78</v>
      </c>
      <c r="AV82" t="s">
        <v>136</v>
      </c>
      <c r="AW82" t="s">
        <v>89</v>
      </c>
      <c r="AX82" t="s">
        <v>90</v>
      </c>
      <c r="AY82" t="s">
        <v>78</v>
      </c>
      <c r="AZ82" t="s">
        <v>91</v>
      </c>
      <c r="BA82" t="s">
        <v>92</v>
      </c>
      <c r="BB82" t="s">
        <v>92</v>
      </c>
      <c r="BC82" t="s">
        <v>78</v>
      </c>
      <c r="BE82" t="s">
        <v>78</v>
      </c>
      <c r="BH82" t="s">
        <v>78</v>
      </c>
      <c r="BK82" t="s">
        <v>107</v>
      </c>
      <c r="BL82" t="s">
        <v>78</v>
      </c>
      <c r="BM82" t="s">
        <v>78</v>
      </c>
      <c r="BN82" t="s">
        <v>78</v>
      </c>
      <c r="BO82" t="s">
        <v>127</v>
      </c>
      <c r="BP82" t="s">
        <v>619</v>
      </c>
      <c r="BQ82" t="s">
        <v>620</v>
      </c>
      <c r="BR82" t="s">
        <v>619</v>
      </c>
      <c r="BS82" t="s">
        <v>241</v>
      </c>
      <c r="BT82" t="s">
        <v>170</v>
      </c>
      <c r="BU82" t="s">
        <v>616</v>
      </c>
      <c r="BV82" t="str">
        <f t="shared" si="1"/>
        <v>W40PDA</v>
      </c>
    </row>
    <row r="83" spans="1:74" x14ac:dyDescent="0.25">
      <c r="A83" t="s">
        <v>73</v>
      </c>
      <c r="B83" t="s">
        <v>74</v>
      </c>
      <c r="C83" t="s">
        <v>621</v>
      </c>
      <c r="D83" t="s">
        <v>622</v>
      </c>
      <c r="E83" t="s">
        <v>623</v>
      </c>
      <c r="G83" t="s">
        <v>677</v>
      </c>
      <c r="H83" t="s">
        <v>78</v>
      </c>
      <c r="I83" t="s">
        <v>90</v>
      </c>
      <c r="J83" t="s">
        <v>103</v>
      </c>
      <c r="K83" t="s">
        <v>135</v>
      </c>
      <c r="L83" t="s">
        <v>143</v>
      </c>
      <c r="N83" t="s">
        <v>106</v>
      </c>
      <c r="O83" t="s">
        <v>78</v>
      </c>
      <c r="P83" t="s">
        <v>91</v>
      </c>
      <c r="Q83" t="s">
        <v>78</v>
      </c>
      <c r="R83" t="s">
        <v>84</v>
      </c>
      <c r="S83" t="s">
        <v>78</v>
      </c>
      <c r="T83" t="s">
        <v>84</v>
      </c>
      <c r="U83" t="s">
        <v>78</v>
      </c>
      <c r="V83" t="s">
        <v>91</v>
      </c>
      <c r="W83" t="s">
        <v>78</v>
      </c>
      <c r="X83" t="s">
        <v>78</v>
      </c>
      <c r="Y83" t="s">
        <v>90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H83" t="s">
        <v>78</v>
      </c>
      <c r="AM83" t="s">
        <v>78</v>
      </c>
      <c r="AN83" t="s">
        <v>78</v>
      </c>
      <c r="AQ83" t="s">
        <v>78</v>
      </c>
      <c r="AR83" t="s">
        <v>78</v>
      </c>
      <c r="AV83" t="s">
        <v>136</v>
      </c>
      <c r="AW83" t="s">
        <v>89</v>
      </c>
      <c r="AX83" t="s">
        <v>90</v>
      </c>
      <c r="AY83" t="s">
        <v>78</v>
      </c>
      <c r="AZ83" t="s">
        <v>91</v>
      </c>
      <c r="BA83" t="s">
        <v>92</v>
      </c>
      <c r="BB83" t="s">
        <v>92</v>
      </c>
      <c r="BC83" t="s">
        <v>78</v>
      </c>
      <c r="BE83" t="s">
        <v>78</v>
      </c>
      <c r="BH83" t="s">
        <v>78</v>
      </c>
      <c r="BK83" t="s">
        <v>107</v>
      </c>
      <c r="BL83" t="s">
        <v>78</v>
      </c>
      <c r="BM83" t="s">
        <v>78</v>
      </c>
      <c r="BN83" t="s">
        <v>78</v>
      </c>
      <c r="BO83" t="s">
        <v>127</v>
      </c>
      <c r="BP83" t="s">
        <v>619</v>
      </c>
      <c r="BQ83" t="s">
        <v>624</v>
      </c>
      <c r="BR83" t="s">
        <v>625</v>
      </c>
      <c r="BS83" t="s">
        <v>74</v>
      </c>
      <c r="BT83" t="s">
        <v>626</v>
      </c>
      <c r="BU83" t="s">
        <v>621</v>
      </c>
      <c r="BV83" t="str">
        <f t="shared" si="1"/>
        <v>W40PDA</v>
      </c>
    </row>
    <row r="84" spans="1:74" x14ac:dyDescent="0.25">
      <c r="A84" t="s">
        <v>73</v>
      </c>
      <c r="B84" t="s">
        <v>74</v>
      </c>
      <c r="C84" t="s">
        <v>627</v>
      </c>
      <c r="D84" t="s">
        <v>628</v>
      </c>
      <c r="G84" t="s">
        <v>679</v>
      </c>
      <c r="H84" t="s">
        <v>84</v>
      </c>
      <c r="I84" t="s">
        <v>90</v>
      </c>
      <c r="J84" t="s">
        <v>124</v>
      </c>
      <c r="K84" t="s">
        <v>223</v>
      </c>
      <c r="L84" t="s">
        <v>629</v>
      </c>
      <c r="N84" t="s">
        <v>126</v>
      </c>
      <c r="O84" t="s">
        <v>78</v>
      </c>
      <c r="P84" t="s">
        <v>91</v>
      </c>
      <c r="Q84" t="s">
        <v>78</v>
      </c>
      <c r="R84" t="s">
        <v>84</v>
      </c>
      <c r="S84" t="s">
        <v>78</v>
      </c>
      <c r="T84" t="s">
        <v>84</v>
      </c>
      <c r="U84" t="s">
        <v>78</v>
      </c>
      <c r="V84" t="s">
        <v>91</v>
      </c>
      <c r="W84" t="s">
        <v>78</v>
      </c>
      <c r="X84" t="s">
        <v>78</v>
      </c>
      <c r="Y84" t="s">
        <v>90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H84" t="s">
        <v>78</v>
      </c>
      <c r="AM84" t="s">
        <v>78</v>
      </c>
      <c r="AN84" t="s">
        <v>78</v>
      </c>
      <c r="AQ84" t="s">
        <v>78</v>
      </c>
      <c r="AR84" t="s">
        <v>78</v>
      </c>
      <c r="AW84" t="s">
        <v>89</v>
      </c>
      <c r="AX84" t="s">
        <v>90</v>
      </c>
      <c r="AY84" t="s">
        <v>78</v>
      </c>
      <c r="AZ84" t="s">
        <v>91</v>
      </c>
      <c r="BA84" t="s">
        <v>92</v>
      </c>
      <c r="BB84" t="s">
        <v>92</v>
      </c>
      <c r="BC84" t="s">
        <v>78</v>
      </c>
      <c r="BE84" t="s">
        <v>78</v>
      </c>
      <c r="BH84" t="s">
        <v>78</v>
      </c>
      <c r="BK84" t="s">
        <v>107</v>
      </c>
      <c r="BL84" t="s">
        <v>78</v>
      </c>
      <c r="BM84" t="s">
        <v>84</v>
      </c>
      <c r="BN84" t="s">
        <v>78</v>
      </c>
      <c r="BO84" t="s">
        <v>127</v>
      </c>
      <c r="BP84" t="s">
        <v>561</v>
      </c>
      <c r="BQ84" t="s">
        <v>630</v>
      </c>
      <c r="BR84" t="s">
        <v>631</v>
      </c>
      <c r="BS84" t="s">
        <v>632</v>
      </c>
      <c r="BT84" t="s">
        <v>170</v>
      </c>
      <c r="BU84" t="s">
        <v>627</v>
      </c>
      <c r="BV84" t="str">
        <f t="shared" si="1"/>
        <v>W20PDA</v>
      </c>
    </row>
    <row r="85" spans="1:74" x14ac:dyDescent="0.25">
      <c r="A85" t="s">
        <v>73</v>
      </c>
      <c r="B85" t="s">
        <v>74</v>
      </c>
      <c r="C85" t="s">
        <v>633</v>
      </c>
      <c r="D85" t="s">
        <v>634</v>
      </c>
      <c r="E85" t="s">
        <v>635</v>
      </c>
      <c r="G85" t="s">
        <v>677</v>
      </c>
      <c r="H85" t="s">
        <v>78</v>
      </c>
      <c r="I85" t="s">
        <v>79</v>
      </c>
      <c r="J85" t="s">
        <v>450</v>
      </c>
      <c r="K85" t="s">
        <v>451</v>
      </c>
      <c r="L85" t="s">
        <v>82</v>
      </c>
      <c r="N85" t="s">
        <v>83</v>
      </c>
      <c r="O85" t="s">
        <v>78</v>
      </c>
      <c r="P85" t="s">
        <v>84</v>
      </c>
      <c r="Q85" t="s">
        <v>78</v>
      </c>
      <c r="R85" t="s">
        <v>84</v>
      </c>
      <c r="S85" t="s">
        <v>78</v>
      </c>
      <c r="T85" t="s">
        <v>84</v>
      </c>
      <c r="U85" t="s">
        <v>78</v>
      </c>
      <c r="V85" t="s">
        <v>91</v>
      </c>
      <c r="W85" t="s">
        <v>636</v>
      </c>
      <c r="X85" t="s">
        <v>213</v>
      </c>
      <c r="Y85" t="s">
        <v>79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637</v>
      </c>
      <c r="AH85" t="s">
        <v>78</v>
      </c>
      <c r="AL85" t="s">
        <v>454</v>
      </c>
      <c r="AM85" t="s">
        <v>78</v>
      </c>
      <c r="AN85" t="s">
        <v>78</v>
      </c>
      <c r="AQ85" t="s">
        <v>78</v>
      </c>
      <c r="AR85" t="s">
        <v>78</v>
      </c>
      <c r="AT85" t="s">
        <v>455</v>
      </c>
      <c r="AV85" t="s">
        <v>384</v>
      </c>
      <c r="AW85" t="s">
        <v>89</v>
      </c>
      <c r="AX85" t="s">
        <v>79</v>
      </c>
      <c r="AY85" t="s">
        <v>84</v>
      </c>
      <c r="AZ85" t="s">
        <v>91</v>
      </c>
      <c r="BA85" t="s">
        <v>91</v>
      </c>
      <c r="BB85" t="s">
        <v>92</v>
      </c>
      <c r="BC85" t="s">
        <v>78</v>
      </c>
      <c r="BE85" t="s">
        <v>78</v>
      </c>
      <c r="BF85" t="s">
        <v>638</v>
      </c>
      <c r="BG85" t="s">
        <v>639</v>
      </c>
      <c r="BH85" t="s">
        <v>78</v>
      </c>
      <c r="BK85" t="s">
        <v>107</v>
      </c>
      <c r="BL85" t="s">
        <v>78</v>
      </c>
      <c r="BM85" t="s">
        <v>84</v>
      </c>
      <c r="BN85" t="s">
        <v>78</v>
      </c>
      <c r="BO85" t="s">
        <v>95</v>
      </c>
      <c r="BP85" t="s">
        <v>640</v>
      </c>
      <c r="BQ85" t="s">
        <v>641</v>
      </c>
      <c r="BR85" t="s">
        <v>642</v>
      </c>
      <c r="BS85" t="s">
        <v>643</v>
      </c>
      <c r="BT85" t="s">
        <v>170</v>
      </c>
      <c r="BU85" t="s">
        <v>633</v>
      </c>
      <c r="BV85" t="str">
        <f t="shared" si="1"/>
        <v>W40PDA</v>
      </c>
    </row>
    <row r="86" spans="1:74" x14ac:dyDescent="0.25">
      <c r="A86" t="s">
        <v>73</v>
      </c>
      <c r="B86" t="s">
        <v>74</v>
      </c>
      <c r="C86" t="s">
        <v>644</v>
      </c>
      <c r="D86" t="s">
        <v>645</v>
      </c>
      <c r="E86" t="s">
        <v>646</v>
      </c>
      <c r="G86" t="s">
        <v>677</v>
      </c>
      <c r="H86" t="s">
        <v>78</v>
      </c>
      <c r="I86" t="s">
        <v>647</v>
      </c>
      <c r="J86" t="s">
        <v>648</v>
      </c>
      <c r="K86" t="s">
        <v>649</v>
      </c>
      <c r="L86" t="s">
        <v>82</v>
      </c>
      <c r="N86" t="s">
        <v>83</v>
      </c>
      <c r="O86" t="s">
        <v>78</v>
      </c>
      <c r="P86" t="s">
        <v>84</v>
      </c>
      <c r="Q86" t="s">
        <v>78</v>
      </c>
      <c r="R86" t="s">
        <v>84</v>
      </c>
      <c r="S86" t="s">
        <v>78</v>
      </c>
      <c r="T86" t="s">
        <v>84</v>
      </c>
      <c r="U86" t="s">
        <v>78</v>
      </c>
      <c r="V86" t="s">
        <v>78</v>
      </c>
      <c r="W86" t="s">
        <v>78</v>
      </c>
      <c r="X86" t="s">
        <v>78</v>
      </c>
      <c r="Y86" t="s">
        <v>647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H86" t="s">
        <v>78</v>
      </c>
      <c r="AL86" t="s">
        <v>650</v>
      </c>
      <c r="AM86" t="s">
        <v>78</v>
      </c>
      <c r="AN86" t="s">
        <v>78</v>
      </c>
      <c r="AQ86" t="s">
        <v>78</v>
      </c>
      <c r="AR86" t="s">
        <v>78</v>
      </c>
      <c r="AT86" t="s">
        <v>651</v>
      </c>
      <c r="AV86" t="s">
        <v>144</v>
      </c>
      <c r="AW86" t="s">
        <v>89</v>
      </c>
      <c r="AX86" t="s">
        <v>90</v>
      </c>
      <c r="AY86" t="s">
        <v>78</v>
      </c>
      <c r="AZ86" t="s">
        <v>91</v>
      </c>
      <c r="BA86" t="s">
        <v>78</v>
      </c>
      <c r="BB86" t="s">
        <v>78</v>
      </c>
      <c r="BC86" t="s">
        <v>78</v>
      </c>
      <c r="BE86" t="s">
        <v>78</v>
      </c>
      <c r="BH86" t="s">
        <v>78</v>
      </c>
      <c r="BL86" t="s">
        <v>78</v>
      </c>
      <c r="BM86" t="s">
        <v>84</v>
      </c>
      <c r="BN86" t="s">
        <v>78</v>
      </c>
      <c r="BO86" t="s">
        <v>95</v>
      </c>
      <c r="BP86" t="s">
        <v>652</v>
      </c>
      <c r="BQ86" t="s">
        <v>653</v>
      </c>
      <c r="BR86" t="s">
        <v>654</v>
      </c>
      <c r="BS86" t="s">
        <v>655</v>
      </c>
      <c r="BT86" t="s">
        <v>183</v>
      </c>
      <c r="BU86" t="s">
        <v>644</v>
      </c>
      <c r="BV86" t="str">
        <f t="shared" si="1"/>
        <v>W40PDA</v>
      </c>
    </row>
    <row r="87" spans="1:74" x14ac:dyDescent="0.25">
      <c r="A87" t="s">
        <v>73</v>
      </c>
      <c r="B87" t="s">
        <v>74</v>
      </c>
      <c r="C87" t="s">
        <v>656</v>
      </c>
      <c r="D87" t="s">
        <v>657</v>
      </c>
      <c r="E87" t="s">
        <v>658</v>
      </c>
      <c r="G87" t="s">
        <v>677</v>
      </c>
      <c r="H87" t="s">
        <v>78</v>
      </c>
      <c r="I87" t="s">
        <v>102</v>
      </c>
      <c r="J87" t="s">
        <v>659</v>
      </c>
      <c r="K87" t="s">
        <v>660</v>
      </c>
      <c r="L87" t="s">
        <v>224</v>
      </c>
      <c r="N87" t="s">
        <v>126</v>
      </c>
      <c r="O87" t="s">
        <v>78</v>
      </c>
      <c r="P87" t="s">
        <v>91</v>
      </c>
      <c r="Q87" t="s">
        <v>78</v>
      </c>
      <c r="R87" t="s">
        <v>84</v>
      </c>
      <c r="S87" t="s">
        <v>78</v>
      </c>
      <c r="T87" t="s">
        <v>84</v>
      </c>
      <c r="U87" t="s">
        <v>78</v>
      </c>
      <c r="V87" t="s">
        <v>91</v>
      </c>
      <c r="W87" t="s">
        <v>78</v>
      </c>
      <c r="X87" t="s">
        <v>78</v>
      </c>
      <c r="Y87" t="s">
        <v>102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H87" t="s">
        <v>78</v>
      </c>
      <c r="AM87" t="s">
        <v>78</v>
      </c>
      <c r="AN87" t="s">
        <v>78</v>
      </c>
      <c r="AQ87" t="s">
        <v>78</v>
      </c>
      <c r="AR87" t="s">
        <v>78</v>
      </c>
      <c r="AT87" t="s">
        <v>661</v>
      </c>
      <c r="AV87" t="s">
        <v>136</v>
      </c>
      <c r="AW87" t="s">
        <v>89</v>
      </c>
      <c r="AX87" t="s">
        <v>102</v>
      </c>
      <c r="AY87" t="s">
        <v>78</v>
      </c>
      <c r="AZ87" t="s">
        <v>78</v>
      </c>
      <c r="BA87" t="s">
        <v>92</v>
      </c>
      <c r="BB87" t="s">
        <v>92</v>
      </c>
      <c r="BC87" t="s">
        <v>78</v>
      </c>
      <c r="BE87" t="s">
        <v>78</v>
      </c>
      <c r="BH87" t="s">
        <v>78</v>
      </c>
      <c r="BK87" t="s">
        <v>107</v>
      </c>
      <c r="BL87" t="s">
        <v>78</v>
      </c>
      <c r="BM87" t="s">
        <v>78</v>
      </c>
      <c r="BN87" t="s">
        <v>78</v>
      </c>
      <c r="BO87" t="s">
        <v>95</v>
      </c>
      <c r="BP87" t="s">
        <v>662</v>
      </c>
      <c r="BQ87" t="s">
        <v>663</v>
      </c>
      <c r="BR87" t="s">
        <v>664</v>
      </c>
      <c r="BS87" t="s">
        <v>353</v>
      </c>
      <c r="BT87" t="s">
        <v>665</v>
      </c>
      <c r="BU87" t="s">
        <v>656</v>
      </c>
      <c r="BV87" t="str">
        <f t="shared" si="1"/>
        <v>W40PDA</v>
      </c>
    </row>
    <row r="88" spans="1:74" x14ac:dyDescent="0.25">
      <c r="A88" t="s">
        <v>73</v>
      </c>
      <c r="B88" t="s">
        <v>74</v>
      </c>
      <c r="C88" t="s">
        <v>666</v>
      </c>
      <c r="D88" t="s">
        <v>667</v>
      </c>
      <c r="E88" t="s">
        <v>658</v>
      </c>
      <c r="G88" t="s">
        <v>677</v>
      </c>
      <c r="H88" t="s">
        <v>78</v>
      </c>
      <c r="I88" t="s">
        <v>102</v>
      </c>
      <c r="J88" t="s">
        <v>659</v>
      </c>
      <c r="K88" t="s">
        <v>660</v>
      </c>
      <c r="L88" t="s">
        <v>224</v>
      </c>
      <c r="N88" t="s">
        <v>126</v>
      </c>
      <c r="O88" t="s">
        <v>78</v>
      </c>
      <c r="P88" t="s">
        <v>91</v>
      </c>
      <c r="Q88" t="s">
        <v>78</v>
      </c>
      <c r="R88" t="s">
        <v>84</v>
      </c>
      <c r="S88" t="s">
        <v>78</v>
      </c>
      <c r="T88" t="s">
        <v>84</v>
      </c>
      <c r="U88" t="s">
        <v>78</v>
      </c>
      <c r="V88" t="s">
        <v>91</v>
      </c>
      <c r="W88" t="s">
        <v>78</v>
      </c>
      <c r="X88" t="s">
        <v>78</v>
      </c>
      <c r="Y88" t="s">
        <v>102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H88" t="s">
        <v>78</v>
      </c>
      <c r="AM88" t="s">
        <v>78</v>
      </c>
      <c r="AN88" t="s">
        <v>78</v>
      </c>
      <c r="AQ88" t="s">
        <v>78</v>
      </c>
      <c r="AR88" t="s">
        <v>78</v>
      </c>
      <c r="AT88" t="s">
        <v>661</v>
      </c>
      <c r="AV88" t="s">
        <v>136</v>
      </c>
      <c r="AW88" t="s">
        <v>89</v>
      </c>
      <c r="AX88" t="s">
        <v>102</v>
      </c>
      <c r="AY88" t="s">
        <v>78</v>
      </c>
      <c r="AZ88" t="s">
        <v>78</v>
      </c>
      <c r="BA88" t="s">
        <v>92</v>
      </c>
      <c r="BB88" t="s">
        <v>92</v>
      </c>
      <c r="BC88" t="s">
        <v>78</v>
      </c>
      <c r="BE88" t="s">
        <v>78</v>
      </c>
      <c r="BH88" t="s">
        <v>78</v>
      </c>
      <c r="BK88" t="s">
        <v>107</v>
      </c>
      <c r="BL88" t="s">
        <v>78</v>
      </c>
      <c r="BM88" t="s">
        <v>78</v>
      </c>
      <c r="BN88" t="s">
        <v>78</v>
      </c>
      <c r="BO88" t="s">
        <v>95</v>
      </c>
      <c r="BP88" t="s">
        <v>662</v>
      </c>
      <c r="BQ88" t="s">
        <v>668</v>
      </c>
      <c r="BR88" t="s">
        <v>527</v>
      </c>
      <c r="BS88" t="s">
        <v>669</v>
      </c>
      <c r="BT88" t="s">
        <v>112</v>
      </c>
      <c r="BU88" t="s">
        <v>666</v>
      </c>
      <c r="BV88" t="str">
        <f t="shared" si="1"/>
        <v>W40PDA</v>
      </c>
    </row>
    <row r="89" spans="1:74" x14ac:dyDescent="0.25">
      <c r="A89" t="s">
        <v>73</v>
      </c>
      <c r="B89" t="s">
        <v>74</v>
      </c>
      <c r="C89" t="s">
        <v>670</v>
      </c>
      <c r="D89" t="s">
        <v>671</v>
      </c>
      <c r="E89" t="s">
        <v>658</v>
      </c>
      <c r="G89" t="s">
        <v>677</v>
      </c>
      <c r="H89" t="s">
        <v>78</v>
      </c>
      <c r="I89" t="s">
        <v>102</v>
      </c>
      <c r="J89" t="s">
        <v>659</v>
      </c>
      <c r="K89" t="s">
        <v>660</v>
      </c>
      <c r="L89" t="s">
        <v>224</v>
      </c>
      <c r="N89" t="s">
        <v>126</v>
      </c>
      <c r="O89" t="s">
        <v>78</v>
      </c>
      <c r="P89" t="s">
        <v>91</v>
      </c>
      <c r="Q89" t="s">
        <v>78</v>
      </c>
      <c r="R89" t="s">
        <v>84</v>
      </c>
      <c r="S89" t="s">
        <v>78</v>
      </c>
      <c r="T89" t="s">
        <v>84</v>
      </c>
      <c r="U89" t="s">
        <v>78</v>
      </c>
      <c r="V89" t="s">
        <v>91</v>
      </c>
      <c r="W89" t="s">
        <v>78</v>
      </c>
      <c r="X89" t="s">
        <v>78</v>
      </c>
      <c r="Y89" t="s">
        <v>102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H89" t="s">
        <v>78</v>
      </c>
      <c r="AM89" t="s">
        <v>78</v>
      </c>
      <c r="AN89" t="s">
        <v>78</v>
      </c>
      <c r="AQ89" t="s">
        <v>78</v>
      </c>
      <c r="AR89" t="s">
        <v>78</v>
      </c>
      <c r="AT89" t="s">
        <v>672</v>
      </c>
      <c r="AV89" t="s">
        <v>136</v>
      </c>
      <c r="AW89" t="s">
        <v>89</v>
      </c>
      <c r="AX89" t="s">
        <v>102</v>
      </c>
      <c r="AY89" t="s">
        <v>78</v>
      </c>
      <c r="AZ89" t="s">
        <v>78</v>
      </c>
      <c r="BA89" t="s">
        <v>92</v>
      </c>
      <c r="BB89" t="s">
        <v>92</v>
      </c>
      <c r="BC89" t="s">
        <v>78</v>
      </c>
      <c r="BE89" t="s">
        <v>78</v>
      </c>
      <c r="BH89" t="s">
        <v>78</v>
      </c>
      <c r="BK89" t="s">
        <v>107</v>
      </c>
      <c r="BL89" t="s">
        <v>78</v>
      </c>
      <c r="BM89" t="s">
        <v>78</v>
      </c>
      <c r="BN89" t="s">
        <v>78</v>
      </c>
      <c r="BO89" t="s">
        <v>95</v>
      </c>
      <c r="BP89" t="s">
        <v>673</v>
      </c>
      <c r="BQ89" t="s">
        <v>674</v>
      </c>
      <c r="BR89" t="s">
        <v>527</v>
      </c>
      <c r="BS89" t="s">
        <v>675</v>
      </c>
      <c r="BT89" t="s">
        <v>112</v>
      </c>
      <c r="BU89" t="s">
        <v>670</v>
      </c>
      <c r="BV89" t="str">
        <f t="shared" si="1"/>
        <v>W40PDA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Massey, Warren</cp:lastModifiedBy>
  <dcterms:created xsi:type="dcterms:W3CDTF">2025-11-05T15:50:47Z</dcterms:created>
  <dcterms:modified xsi:type="dcterms:W3CDTF">2025-11-05T17:11:32Z</dcterms:modified>
</cp:coreProperties>
</file>